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valinorisrael.sharepoint.com/sites/ClientLightshipNeuroscienceUS-Delivery-LightshipNeuroscience/Shared Documents/"/>
    </mc:Choice>
  </mc:AlternateContent>
  <xr:revisionPtr revIDLastSave="397" documentId="8_{64D05786-D427-457D-992D-F6714F68BED8}" xr6:coauthVersionLast="47" xr6:coauthVersionMax="47" xr10:uidLastSave="{86288BDE-142B-4DD5-BCB4-CA3F30C7D842}"/>
  <bookViews>
    <workbookView xWindow="28680" yWindow="-7965" windowWidth="29040" windowHeight="15720" firstSheet="1" activeTab="1" xr2:uid="{00000000-000D-0000-FFFF-FFFF00000000}"/>
  </bookViews>
  <sheets>
    <sheet name="Description" sheetId="1" r:id="rId1"/>
    <sheet name="MVP Breakdown" sheetId="2" r:id="rId2"/>
    <sheet name="Assumptions" sheetId="3" r:id="rId3"/>
    <sheet name="Success Criteria" sheetId="5" r:id="rId4"/>
    <sheet name="AWS Cloud Architecture" sheetId="6" r:id="rId5"/>
    <sheet name="AI Architecture" sheetId="7" r:id="rId6"/>
    <sheet name="AWS Calculator" sheetId="8"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8" i="2" l="1"/>
  <c r="K36" i="2"/>
  <c r="K38" i="2"/>
  <c r="K39" i="2"/>
  <c r="K40" i="2"/>
  <c r="K35" i="2"/>
  <c r="E39" i="2"/>
  <c r="E40" i="2"/>
  <c r="J36" i="2"/>
  <c r="J37" i="2"/>
  <c r="J38" i="2"/>
  <c r="J39" i="2"/>
  <c r="J40" i="2"/>
  <c r="J35" i="2"/>
  <c r="F26" i="2"/>
  <c r="G26" i="2"/>
  <c r="H26" i="2"/>
  <c r="G35" i="2"/>
  <c r="E35" i="2" s="1"/>
  <c r="J26" i="2"/>
  <c r="I38" i="2"/>
  <c r="I39" i="2"/>
  <c r="I40" i="2"/>
  <c r="G37" i="2"/>
  <c r="G36" i="2"/>
  <c r="E36" i="2" s="1"/>
  <c r="I35" i="2"/>
  <c r="Q40" i="2"/>
  <c r="Q39" i="2"/>
  <c r="Q38" i="2"/>
  <c r="Q37" i="2"/>
  <c r="Q36" i="2"/>
  <c r="Q35" i="2"/>
  <c r="I37" i="2" l="1"/>
  <c r="K37" i="2" s="1"/>
  <c r="E37" i="2"/>
  <c r="Q41" i="2"/>
  <c r="I36" i="2"/>
  <c r="G41" i="2"/>
  <c r="I41" i="2"/>
</calcChain>
</file>

<file path=xl/sharedStrings.xml><?xml version="1.0" encoding="utf-8"?>
<sst xmlns="http://schemas.openxmlformats.org/spreadsheetml/2006/main" count="280" uniqueCount="255">
  <si>
    <t>LightShip Video Annotation - MVP Statement of Work</t>
  </si>
  <si>
    <t>What will happen in MVP</t>
  </si>
  <si>
    <t>This MVP enhances the existing LightShip Video Annotation PoC by integrating superior pre-trained detection models and specialized libraries. The system will achieve significantly higher labeling accuracy, especially for lanes (using Detectron2) and road signs, by replacing the current detection approach with state-of-the-art pre-trained models. A new LLM-powered video classifier will analyze detection outputs to automatically categorize videos into training types (reaction time/breaking or Q&amp;A/educational) and generate appropriate interactive content. Construction site detection will be added using pre-trained models to expand training scenarios. The result is a more accurate, intelligent automated annotation system that reduces manual work while improving training content quality.</t>
  </si>
  <si>
    <t>What is the business value to the client</t>
  </si>
  <si>
    <t>• Reduce manual annotation costs by 70-80% through improved automated detection
• Expand training content library to include construction site scenarios (20% market expansion)
• Enable intelligent video categorization using LLM analysis - no ML model training required
• Automatically generate personalized Q&amp;A content for educational videos using AI
• Improve driver safety assessment accuracy with better hazard detection in adverse weather
• Accelerate content production 3-5x through automated classification and config generation
• Enhance competitive differentiation with motorcycle and lane-specific training modules
• Reduce time-to-market for new training scenarios from weeks to hours
• Lower operational complexity - LLM-based classification is more flexible and maintainable than ML classifiers</t>
  </si>
  <si>
    <t>What will the customer get</t>
  </si>
  <si>
    <t>1. Enhanced Detection Pipeline:
   • Integrated pre-trained models for motorcycle detection (85%+ accuracy)
   • Detectron2-based lane detection system with clear visual overlays
   • Enhanced road sign recognition covering 50+ sign types using state-of-the-art models
   • Improved rainy condition detection accuracy (30% improvement over PoC)
2. LLM-Powered Video Classification System:
   • Intelligent video categorization using LLM analysis of detection outputs
   • Automatic class determination: reaction time/breaking vs Q&amp;A/educational
   • Class-specific JSON config generation tailored to video type
   • Reaction time configs: frame timing, response windows, hazard analysis
   • Educational configs: auto-generated questions, answers, explanations per frame
3. Construction Site Detection:
   • Integrated pre-trained construction object detection models
   • 15+ construction object labels (cones, barriers, equipment, workers)
   • Safety hazard prioritization for construction scenarios
4. Technical Deliverables:
   • Updated Python codebase with integrated pre-trained models
   • Detectron2 configuration and integration for lane detection
   • LLM prompts and classification logic for video analysis
   • Evaluation report comparing PoC vs MVP performance
   • Model selection documentation (models evaluated and selected)
   • AWS deployment scripts and configuration
5. Documentation:
   • Technical integration guide
   • Model performance benchmarks and comparison
   • LLM prompt engineering guide for video classification
   • Model configuration and optimization guide
   • Cost optimization recommendations</t>
  </si>
  <si>
    <t>What does the customer need to do</t>
  </si>
  <si>
    <t>Technical Requirements:
• Provide AWS account access with permissions for Bedrock, Rekognition, S3
• Allocate AWS budget: ~$300-500 for development and testing
• Designate technical point of contact for weekly sync meetings
Data Requirements:
• Provide 30-50 sample dashcam videos covering:
  - Motorcycle scenarios (5+ videos)
  - Various lane configurations (highways, urban, rural)
  - Diverse weather conditions (rain, fog, clear)
  - Construction sites (10+ videos)
  - Example reaction time videos (5+ videos showing sudden hazards)
  - Example educational videos (5+ videos with learning opportunities)
• Provide 30-50 labeled frames as ground truth for validation and benchmarking
• Define criteria for reactivity/breaking vs Q&amp;A/educational video classification
• Provide 3-5 sample Q&amp;A templates showing desired question format and educational style
People &amp; Process:
• Assign product manager for requirements clarification and UAT
• Schedule weekly 1-hour progress review meetings
• Review and approve detection accuracy thresholds
• Review and approve LLM-generated configs for 10+ sample videos
• Provide feedback on config quality within 2 business days
• Participate in final acceptance testing (6 hours estimated)</t>
  </si>
  <si>
    <t>What is the input</t>
  </si>
  <si>
    <t>• Dashcam video files (MP4, AVI, MOV formats)
• Video metadata: camera type, frame rate, resolution
• Video class definitions and taxonomy
• Educational content templates for Q&amp;A generation
• Ground truth annotations for validation (50 frames)
• Construction site object taxonomy
• Client-specific hazard prioritization rules</t>
  </si>
  <si>
    <t>What is the output</t>
  </si>
  <si>
    <t>Per Video:
• Annotated frame images with enhanced bounding boxes (motorcycle, lane, sign, construction)
• JSON metadata files with improved accuracy
• Video class label with confidence score
• Class-specific configuration JSON:
  - Reaction time videos: frame timing, expected response windows
  - Educational videos: generated questions, correct answers, frame timestamps
  - Hazard videos: risk levels, scenario descriptions
System-Level:
• Enhanced detection models deployed on AWS
• Video classifier API endpoint
• Performance comparison report (PoC vs MVP metrics)
• Validation results on test dataset
• Cost analysis per video type</t>
  </si>
  <si>
    <t>What is important</t>
  </si>
  <si>
    <t>Attribute</t>
  </si>
  <si>
    <t>Value</t>
  </si>
  <si>
    <t>Language</t>
  </si>
  <si>
    <t>English (with support for multi-language labels if needed)</t>
  </si>
  <si>
    <t>Video Format Support</t>
  </si>
  <si>
    <t>MP4, AVI, MOV (H.264/H.265 codecs)</t>
  </si>
  <si>
    <t>Data Privacy</t>
  </si>
  <si>
    <t>All video data processed in client's AWS account with encryption at rest and in transit</t>
  </si>
  <si>
    <t>Security</t>
  </si>
  <si>
    <t>IAM role-based access, VPC isolation, CloudTrail logging enabled</t>
  </si>
  <si>
    <t>Detection Accuracy Target</t>
  </si>
  <si>
    <t>Motorcycle: 85%+ | Lane: 80%+ | Road Signs: 90%+ | Construction: 85%+</t>
  </si>
  <si>
    <t>LLM Classification Accuracy</t>
  </si>
  <si>
    <t>Video class prediction: 90%+ accuracy (reactivity vs Q&amp;A)</t>
  </si>
  <si>
    <t>Rainy Condition Improvement</t>
  </si>
  <si>
    <t>30% improvement in detection accuracy vs current PoC</t>
  </si>
  <si>
    <t>Processing Time</t>
  </si>
  <si>
    <t>1-2 minutes per minute of video (varies with scene complexity)</t>
  </si>
  <si>
    <t>LLM Response Time</t>
  </si>
  <si>
    <t>Video classification + config generation: &lt;45 seconds per video</t>
  </si>
  <si>
    <t>Config Quality</t>
  </si>
  <si>
    <t>Q&amp;A questions reviewed and approved by client for educational relevance</t>
  </si>
  <si>
    <t>Supported Resolutions</t>
  </si>
  <si>
    <t>720p to 4K (1280x720 to 3840x2160)</t>
  </si>
  <si>
    <t>AWS Region</t>
  </si>
  <si>
    <t>us-east-1 (configurable)</t>
  </si>
  <si>
    <t>Responsibility</t>
  </si>
  <si>
    <t>Epic</t>
  </si>
  <si>
    <t>Feature</t>
  </si>
  <si>
    <t>Description</t>
  </si>
  <si>
    <t>DoD (Definition of Done)</t>
  </si>
  <si>
    <t>Days</t>
  </si>
  <si>
    <t>Phase</t>
  </si>
  <si>
    <t>Tech Assumptions</t>
  </si>
  <si>
    <t>Dependencies</t>
  </si>
  <si>
    <t>AI Developer</t>
  </si>
  <si>
    <t>DevOps</t>
  </si>
  <si>
    <t>AI Validation</t>
  </si>
  <si>
    <t>Infrastructure</t>
  </si>
  <si>
    <t>Account Setting and Networking</t>
  </si>
  <si>
    <t>The system will be deployed in a secure AWS environment with proper network isolation and connectivity</t>
  </si>
  <si>
    <t>VPC, subnets, routing tables, and DHCP configured per best practices</t>
  </si>
  <si>
    <t>Identity Access</t>
  </si>
  <si>
    <t>Security Objects</t>
  </si>
  <si>
    <t>The system will have properly configured security permissions and access controls</t>
  </si>
  <si>
    <t>IAM roles, policies, and security groups configured with least privilege principle</t>
  </si>
  <si>
    <t>AWS Services Creation</t>
  </si>
  <si>
    <t>S3 Bucket Setup</t>
  </si>
  <si>
    <t>The system will have dedicated storage for video inputs, processed outputs, and model artifacts</t>
  </si>
  <si>
    <t>S3 buckets created with versioning, encryption, lifecycle policies</t>
  </si>
  <si>
    <t>Bedrock and Rekognition Setup</t>
  </si>
  <si>
    <t>The system will have access to AWS AI services for video analysis and scene understanding</t>
  </si>
  <si>
    <t>Bedrock Claude model access enabled, Rekognition API permissions granted</t>
  </si>
  <si>
    <t>SQS Queue Setup</t>
  </si>
  <si>
    <t>The system will have a message queue infrastructure for asynchronous batch processing of multiple videos</t>
  </si>
  <si>
    <t>SQS queue created with dead-letter queue, proper visibility timeout, and CloudWatch alarms for queue depth monitoring</t>
  </si>
  <si>
    <t>Deployment</t>
  </si>
  <si>
    <t>Lambda Functions Deployment</t>
  </si>
  <si>
    <t>The system will have serverless functions deployed for video processing orchestration</t>
  </si>
  <si>
    <t>Lambda functions deployed with CloudWatch logging, proper IAM roles</t>
  </si>
  <si>
    <t>AI</t>
  </si>
  <si>
    <t>Environment Setup</t>
  </si>
  <si>
    <t>Development Environment</t>
  </si>
  <si>
    <t>The development team will have a configured environment with all necessary libraries and dependencies</t>
  </si>
  <si>
    <t>Local dev environment with AWS CLI, Python dependencies (Detectron2, OpenCV, PyTorch), IDE setup complete</t>
  </si>
  <si>
    <t>Data Setup</t>
  </si>
  <si>
    <t>Validation Dataset Preparation</t>
  </si>
  <si>
    <t>The development team will have organized ground truth datasets for benchmarking and validation</t>
  </si>
  <si>
    <t>Golden Dataset of 30-50 labeled frames across categories: motorcycles, lanes, road signs, construction objects, weather conditions</t>
  </si>
  <si>
    <t>MVP Model Selection</t>
  </si>
  <si>
    <t>Pre-trained Model Research</t>
  </si>
  <si>
    <t>The development team will evaluate and select the best pre-trained models for improving upon the PoC detection tasks, from a set of 3 models</t>
  </si>
  <si>
    <t>Determination of the best model selection per label category (motorcycle, signs, lanes, construction) between Detectron2, Rekognition, YoloV12 XL</t>
  </si>
  <si>
    <t>Enhanced Detection</t>
  </si>
  <si>
    <t>Motorcycle Detection Evaluation</t>
  </si>
  <si>
    <t>The system will accurately detect motorcycles using a pre-trained model</t>
  </si>
  <si>
    <t>Motorcycle detection integrated into pipeline; outputs include class label, bbox, distance, confidence</t>
  </si>
  <si>
    <t>Lane Detection Implementation</t>
  </si>
  <si>
    <t>Users will see lane boundary overlays on processed video frames. The system will implement a fallback detection strategy: if all lanes cannot be detected with high confidence, the system will focus on detecting only the driver's current lane to ensure critical lane information is always available.</t>
  </si>
  <si>
    <t>Lane detection handles highways, town roads and city driving conditions. Lane boundaries visualized as colored overlays. Fallback logic implemented: attempts full multi-lane detection first, if confidence score below threshold, switches to driver's lane detection only</t>
  </si>
  <si>
    <t>Road Sign + Traffic Signals Detection Evaluation</t>
  </si>
  <si>
    <t>Users will see detected road signs annotated with sign type labels</t>
  </si>
  <si>
    <t>Sign detection integrated with type classification (speed, stop, yield, warning, etc.)</t>
  </si>
  <si>
    <t>Weather-Aware Detection Optimization</t>
  </si>
  <si>
    <t>The system will maintain detection accuracy in rainy and low-visibility conditions</t>
  </si>
  <si>
    <t>Better performance in detection in rainy conditions vs PoC baseline (tested on rainy validation set)</t>
  </si>
  <si>
    <t>Road Type Detection</t>
  </si>
  <si>
    <t>The system will automatically detect and classify the road environment type (town, city, highway, etc.) for every video and include this information in the JSON config files for all 4 video types.</t>
  </si>
  <si>
    <t>Road type classification integrated into pipeline; JSON output includes road_type field with values: highway, city, town, or other relevant categories (determined with client)</t>
  </si>
  <si>
    <t>Temporal Analysis &amp; Hazard Detection</t>
  </si>
  <si>
    <t>Cross-Frame Object Tracking &amp; Hazard Assessment</t>
  </si>
  <si>
    <t>The system will track objects across adjacent frames to understand their trajectory and behavior over time, enabling intelligent hazard detection. The system will analyze object movement patterns (e.g., vehicle staying in lane vs. moving into driver's lane) to determine if a hazard exists, rather than flagging every nearby object as a potential threat. Each frame's JSON output will include tracking IDs, object trajectories, and contextual hazard flags based on multi-frame analysis.</t>
  </si>
  <si>
    <t>Object tracking implemented with unique IDs across frames; hazard detection logic analyzes trajectory and lane position changes across adjacent frames; JSON output includes: tracking_id, trajectory_vector, lane_change_detected, hazard_level (none/low/medium/high), and hazard_reason fields</t>
  </si>
  <si>
    <t>Video Classification</t>
  </si>
  <si>
    <t>The system will classify each input video into one of 4 types:
*  reactivity/breaking videos
* Q&amp;A/educational videos
*Hazard Detection
*Construction site Detection
For each, the system will create a JSON file (Config file) matching the client format and save it to an S3 bucket that the client can connect to, allowing them to load all generated config files into their application.</t>
  </si>
  <si>
    <t>Input video is classified into one of the 4 categories; each category will have a relevant config JSON file saved to S3 bucket that is accessible by the client</t>
  </si>
  <si>
    <t>Custom S3 Path</t>
  </si>
  <si>
    <t>Custom S3 Output Path</t>
  </si>
  <si>
    <t>Users will be able to specify a custom output path in the UI (e.g., "/folder/results") within the output S3 bucket. All pipeline results (JSON config files, annotations) will be saved to the user-defined path, allowing users to organize outputs according to their own folder structure.</t>
  </si>
  <si>
    <t>UI includes a text input field for the user to enter a desired S3 output path; path is validated for correct format (e.g., no special characters, valid folder structure); pipeline saves all output files to the specified path in the output S3 bucket; default path is used if none is provided; invalid path input shows a clear error message to the user</t>
  </si>
  <si>
    <t>Batch Processing</t>
  </si>
  <si>
    <t>Batch Video Upload &amp; Asynchronous Processing</t>
  </si>
  <si>
    <t>Users will be able to select a batch mode in the UI to upload multiple videos at once for processing. The system will queue all videos and process them asynchronously, notifying users when all results are ready. Users can retrieve all generated config files and annotations from S3 when processing is complete.</t>
  </si>
  <si>
    <t>UI includes batch mode selection; multiple video upload supported; videos queued in SQS for asynchronous processing; user gets a notification for batch completion; all outputs (JSON configs, annotations) saved to S3</t>
  </si>
  <si>
    <t>Construction Detection</t>
  </si>
  <si>
    <t>Construction Object Classification</t>
  </si>
  <si>
    <t>The system will support a comprehensive set of construction site object labels</t>
  </si>
  <si>
    <t>The system will provide in the descriptive JSON Config file for recognized videos as construction site and provide with labels from the construction world (determined with the client).</t>
  </si>
  <si>
    <t>Single Image Processing Mode</t>
  </si>
  <si>
    <t>The user will be able to upload a single frame image into the UI and trigger the detection pipeline for object detection.
This will mainly be used for construction site inputs.</t>
  </si>
  <si>
    <t>The system will run the construction detection pipeline for object detections and output the annotated image + JSON file describing the objects in the defined manner.</t>
  </si>
  <si>
    <t>Testing and Evaluation</t>
  </si>
  <si>
    <t>Evaluation</t>
  </si>
  <si>
    <t>Model Performance Evaluation</t>
  </si>
  <si>
    <t>The development team will measure and document all detection improvements against baseline PoC and the new added capabilities of construction lables, lanes lables, roadsigns lables and rainy conditions performance against a defined ground truth dataset.</t>
  </si>
  <si>
    <t>Evaluation report with metrics: precision, recall for each detection category. Comparison table: PoC vs MVP</t>
  </si>
  <si>
    <t>Tests</t>
  </si>
  <si>
    <t>E2E Testing</t>
  </si>
  <si>
    <t>Users will experience a functional system tested across all video types and conditions defined in the MVP scope</t>
  </si>
  <si>
    <t>All user flows tested: video upload, classification, detection, config generation, output retrieval. Tested on 30+ diverse videos</t>
  </si>
  <si>
    <t>Handover</t>
  </si>
  <si>
    <t>Documentation</t>
  </si>
  <si>
    <t>Technical Documentation</t>
  </si>
  <si>
    <t>The development team will provide comprehensive documentation for system integration, maintenance, and operational guidance. Documentation will cover: 
1. Pipeline flow chart showing the end-to-end processing pipeline
2. LLM model swap guide — step-by-step instructions for updating the LLM model when a new version is published
3. AWS cloud architecture diagram + logical architecture diagram for the AI pipeline
4. Known limitations of the pipeline
5. Recommended use guide — how many videos to process, expected video input state, recommended pipeline settings
6. Accuracy optimization guide — recommended settings, video preprocessing steps, and minimum video requirements for optimal detection accuracy
7. Performance &amp; cost optimization guide — batch size, region selection, video size recommendations for optimal efficiency and cost
8. Pipeline debugging guide — troubleshooting steps if the pipeline breaks or encounters errors
9. Output quality debugging guide — troubleshooting steps if pipeline output is unexpectedly poor</t>
  </si>
  <si>
    <t>Docs include:
1. Code in a Github repo with readme file
2. Pipeline flow chart (visual diagram of the end-to-end pipeline stages)
3. LLM model update guide (step-by-step instructions to swap the LLM model for a newer version, including configuration changes and testing steps)
4. AWS architecture diagram (cloud infrastructure layout) + Logical architecture diagram (AI pipeline components and data flow)
5. Known limitations document (documented constraints, edge cases, and unsupported scenarios)
6. Recommended use guide (supported video counts per batch, required video input state/format, recommended pipeline settings per video type)
7. Accuracy optimization guide (optimal detection settings per category, video preprocessing recommendations, minimum video resolution/quality/duration requirements)
8. Performance &amp; cost optimization guide (recommended batch sizes, AWS region considerations, video size/compression guidelines, cost-efficiency tips)
9. Pipeline debugging guide (common failure modes, error codes, step-by-step troubleshooting, log locations, escalation path)
10. Output quality debugging guide (how to diagnose poor detection results, settings to adjust, video quality checks, re-processing steps)</t>
  </si>
  <si>
    <t>Total</t>
  </si>
  <si>
    <t>Timeline - Sprint 2 week (10 day)</t>
  </si>
  <si>
    <t>Phase 1 estimation</t>
  </si>
  <si>
    <t>Resource</t>
  </si>
  <si>
    <t>S0</t>
  </si>
  <si>
    <t>S1</t>
  </si>
  <si>
    <t>S2</t>
  </si>
  <si>
    <t>Devops</t>
  </si>
  <si>
    <t>Product</t>
  </si>
  <si>
    <t>Project</t>
  </si>
  <si>
    <t>AI Architect</t>
  </si>
  <si>
    <t>Assumption Category</t>
  </si>
  <si>
    <t>Project Scope</t>
  </si>
  <si>
    <t>This MVP builds upon the existing LightShip PoC codebase and integrates pre-trained models</t>
  </si>
  <si>
    <t>Pre-trained Models</t>
  </si>
  <si>
    <t>Project will leverage state-of-the-art pre-trained models rather than training custom models from scratch that can be used legaly by the client as an internal application use.</t>
  </si>
  <si>
    <t>Sample Videos</t>
  </si>
  <si>
    <t>Client will provide 20+ sample videos with all required types of objects needed for detection + a calssification for each video into 1 of the 4 defined types, within 1 week of project kickoff for testing and validation</t>
  </si>
  <si>
    <t>Validation Labels</t>
  </si>
  <si>
    <t>Client will provide 10 labeled frames for each video validation</t>
  </si>
  <si>
    <t>No Custom Training</t>
  </si>
  <si>
    <t>MVP scope excludes custom model training infrastructure (no SageMaker training jobs, no large dataset creation)</t>
  </si>
  <si>
    <t>LLM-Based Classification</t>
  </si>
  <si>
    <t>Video classification uses LLM (Bedrock Claude) to analyze detection JSONs rather than training ML classifier</t>
  </si>
  <si>
    <t>Video Classes</t>
  </si>
  <si>
    <t>4 primary classes will be supported as defined in the scope</t>
  </si>
  <si>
    <t>Construction Videos</t>
  </si>
  <si>
    <t>Client has access to 10+ construction site dashcam videos for testing</t>
  </si>
  <si>
    <t>Response Time</t>
  </si>
  <si>
    <t>Processing time targets are not a metric in this mvp</t>
  </si>
  <si>
    <t>Config Generation</t>
  </si>
  <si>
    <t>LLM generates configs in single pass per video (classification + config creation combined)</t>
  </si>
  <si>
    <t>Accuracy Baseline</t>
  </si>
  <si>
    <t>Baseline accuracy from PoC will be measured in first sprint for comparison</t>
  </si>
  <si>
    <t>Rainy Conditions</t>
  </si>
  <si>
    <t>30% improvement target is assumed achievable through model selection, ensembling, and adaptive thresholds</t>
  </si>
  <si>
    <t>Exact level of improvement cannot be guarateed in this stage, and is 'best effort"</t>
  </si>
  <si>
    <t>Client Availability</t>
  </si>
  <si>
    <t>Client product manager available for weekly 1-hour reviews and timely feedback</t>
  </si>
  <si>
    <t>Model Evaluation</t>
  </si>
  <si>
    <t>MVP includes evaluation of multiple pre-trained models per category to select the best-performing option - Detectron2, Rekognition, YoloV12 XL</t>
  </si>
  <si>
    <t>MVP KPI's</t>
  </si>
  <si>
    <t>The client must send good releavnt quality videos for the mvp solution to meet the goal KPI's</t>
  </si>
  <si>
    <t>General Assumptions</t>
  </si>
  <si>
    <t>All services performed under this Scope of Work will be provided remotely</t>
  </si>
  <si>
    <t>The solution will be deployed to a dedicated AWS account managed or provided by the Customer.</t>
  </si>
  <si>
    <t>AI/ML model performance depends on data quality and may degrade if data if not enough high quality data is available</t>
  </si>
  <si>
    <t>Commit will deliver documentation via ReadMe file, as well a handover session meant to assist in Customer-led operation of the solution post-engagement</t>
  </si>
  <si>
    <t>All deliverables are contingent on Commit’s ability to collect and analyze required information within the allocated project budget.</t>
  </si>
  <si>
    <t>The solution is composed of AI models and modules only and does not include any backend or frontend work.</t>
  </si>
  <si>
    <t>Customer is responsible for all Frontend, Backend, work performed to enable the AI solution.</t>
  </si>
  <si>
    <t>Customer is responsible for all devops work performed to enable the AI solution, apart of devops work that is explicitely mentioned</t>
  </si>
  <si>
    <t>Customer is responsible for the cyber security element related to the deployed AI solution</t>
  </si>
  <si>
    <t>Latency of the AI model is of less importance in this engagement</t>
  </si>
  <si>
    <t>Components, services, and solution architecture offered in the solution are based on experience in similar cases and might change during the project. Functionality will remain the same.</t>
  </si>
  <si>
    <t>Integration of the AI model into any components in the Customer’s system, such as backend component, front-end components, or other AI components, will be done by Customer</t>
  </si>
  <si>
    <t>Golden dataset will be created by the development team during the project</t>
  </si>
  <si>
    <t>The generated golden dataset will serve as the project's golden dataset</t>
  </si>
  <si>
    <t>It is possible that some AWS services will be consumed in another region than the region in which the environment provided by the customer is located, including cross-region usage</t>
  </si>
  <si>
    <t>Deployment of the solution as a module on a serverless service such as AWS AgentCore or AWS Lambda is acceptable</t>
  </si>
  <si>
    <t>AWS quotas in the designated AWS account are assumed to be adequate for the project, and in any case, not lower than standard account quotas </t>
  </si>
  <si>
    <t>Customer Responsibilities</t>
  </si>
  <si>
    <t>Customer will allocate a main point of contact for the duration of this project</t>
  </si>
  <si>
    <t>Customer will make available a domain expert to assist in extraction evaluation (human-in-the-loop review)</t>
  </si>
  <si>
    <t>Customer will provide the required data which enables the implementation of the solution and correspond to the requirements outlined in this SOW</t>
  </si>
  <si>
    <t>Customer is responsible for all development or modifications to the Customer's applications and services including front end and back end modifications required to enable usage of the AI service, if such are needed</t>
  </si>
  <si>
    <t>Customer’s main point of contact shall provide ongoing feedback and guidance to Commit’s personnel on their work produce</t>
  </si>
  <si>
    <t>Customer will provide Commit with all access and policy requirements as applicable to this Work Order.</t>
  </si>
  <si>
    <t>Customer will provide permission to Customer’s AWS account and resources (as may be required)</t>
  </si>
  <si>
    <t>Customer will provide documentation about current existing infrastructure</t>
  </si>
  <si>
    <t>Customer will provide the required data which enables the implementation of the solution and correspond to the requirements outlined in this SOW </t>
  </si>
  <si>
    <t>Customer will provide a set of Golden Dataset Items to serve as the source dataset for the project</t>
  </si>
  <si>
    <t>KPI</t>
  </si>
  <si>
    <t>%</t>
  </si>
  <si>
    <t>How is it Measured</t>
  </si>
  <si>
    <t>Motorcycle Detection Recall</t>
  </si>
  <si>
    <t>≥80%</t>
  </si>
  <si>
    <t>TP/(TP+FN) on validation set</t>
  </si>
  <si>
    <t>Lane Detection Accuracy</t>
  </si>
  <si>
    <t>IoU score on lane polygon vs ground truth</t>
  </si>
  <si>
    <t>Road Sign Detection Precision</t>
  </si>
  <si>
    <t>TP/(TP+FP) across provided sign types</t>
  </si>
  <si>
    <t>Construction Object Precision</t>
  </si>
  <si>
    <t>TP/(TP+FP) on provided object classes</t>
  </si>
  <si>
    <t>Video Classification Accuracy</t>
  </si>
  <si>
    <t>Correct class / Total videos (4 classes)</t>
  </si>
  <si>
    <t>Road Type Classificarion Accuracy</t>
  </si>
  <si>
    <t>Correct road type per video / Total videos</t>
  </si>
  <si>
    <t>https://calculator.aws/#/estimate?id=51f657af81c65edb928e3cd853d0eb46c368f1d8</t>
  </si>
  <si>
    <t>300 videos a month</t>
  </si>
  <si>
    <t>100 videos a month</t>
  </si>
  <si>
    <t>Estimate summary</t>
  </si>
  <si>
    <t>Upfront cost</t>
  </si>
  <si>
    <t>Monthly cost</t>
  </si>
  <si>
    <t>Total 12 months cost</t>
  </si>
  <si>
    <t>Currency</t>
  </si>
  <si>
    <t>USD</t>
  </si>
  <si>
    <t>* Includes upfront cost</t>
  </si>
  <si>
    <t>Service</t>
  </si>
  <si>
    <t>Monthly</t>
  </si>
  <si>
    <t>First 12 months total</t>
  </si>
  <si>
    <t>Configuration summary</t>
  </si>
  <si>
    <t>S3 Standard</t>
  </si>
  <si>
    <t>S3 Standard storage (1 TB per month)</t>
  </si>
  <si>
    <t>Data Transfer</t>
  </si>
  <si>
    <t>DT Inbound: Not selected (0 TB per month), DT Outbound: Not selected (0 TB per month)</t>
  </si>
  <si>
    <t>Public IPv4 Address</t>
  </si>
  <si>
    <t>Number of In-use public IPv4 addresses (2)</t>
  </si>
  <si>
    <t>Network Address Translation (NAT) Gateway</t>
  </si>
  <si>
    <t>Number of Regional NAT Gateways (1), Number of Availability Zones Regional NAT Gateways is active in (2)</t>
  </si>
  <si>
    <t>AWS PrivateLink</t>
  </si>
  <si>
    <t>Number of VPC Interface endpoints per AWS region (2)</t>
  </si>
  <si>
    <t>AWS Fargate</t>
  </si>
  <si>
    <t>Operating system (Linux), CPU Architecture (ARM), Average duration (12 days), Number of tasks or pods (1 per day), Amount of ephemeral storage allocated for Amazon ECS (20 GB), Amount of memory allocated (4 GB)</t>
  </si>
  <si>
    <t>Anthropic</t>
  </si>
  <si>
    <t>Select the inference route (Global), Select the inference type (On Demand - Standard), Average requests per minute (1), Hours per day at this rate (8), Average input tokens per request (1000), Average output tokens per request (2000), Average input images per request (1), Average input image length in pixels (L) (1), Average input image width in pixels (W) (1), Average requests per minute (1), Hours per day at this rate (8), Average input tokens per request (1), Average output tokens per request (1), Average requests per minute (1), Hours per day at this rate (8), Average input tokens per request (1), Average output tokens per request (1), Total Number of Records (1), Average input tokens per record (1), Average output tokens per record (1), Total Number of Records (1), Average input tokens per record (1), Average output tokens per record (1), Total Number of Records (1), Average input tokens per record (1), Average output tokens per record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</si>
</sst>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409]* #,##0.00_);_([$$-409]* \(#,##0.00\);_([$$-409]* &quot;-&quot;??_);_(@_)"/>
  </numFmts>
  <fonts count="24">
    <font>
      <sz val="11"/>
      <color theme="1"/>
      <name val="Calibri"/>
      <family val="2"/>
      <scheme val="minor"/>
    </font>
    <font>
      <b/>
      <sz val="11"/>
      <name val="Calibri"/>
      <family val="2"/>
    </font>
    <font>
      <b/>
      <sz val="11"/>
      <color theme="0"/>
      <name val="Calibri"/>
      <family val="2"/>
      <scheme val="minor"/>
    </font>
    <font>
      <b/>
      <sz val="11"/>
      <color theme="1"/>
      <name val="Calibri"/>
      <family val="2"/>
      <scheme val="minor"/>
    </font>
    <font>
      <b/>
      <sz val="14"/>
      <name val="Calibri"/>
      <family val="2"/>
    </font>
    <font>
      <b/>
      <sz val="11"/>
      <color rgb="FFFFFFFF"/>
      <name val="Calibri"/>
      <family val="2"/>
    </font>
    <font>
      <b/>
      <sz val="10"/>
      <name val="Calibri"/>
      <family val="2"/>
    </font>
    <font>
      <b/>
      <sz val="12"/>
      <name val="Calibri"/>
      <family val="2"/>
    </font>
    <font>
      <b/>
      <sz val="12"/>
      <color rgb="FFFFFFFF"/>
      <name val="Calibri"/>
      <family val="2"/>
    </font>
    <font>
      <sz val="10"/>
      <color rgb="FF000000"/>
      <name val="Arial"/>
      <family val="2"/>
    </font>
    <font>
      <sz val="11"/>
      <color rgb="FF000000"/>
      <name val="Calibri"/>
      <family val="2"/>
    </font>
    <font>
      <sz val="10"/>
      <color rgb="FF000000"/>
      <name val="Calibri"/>
      <family val="2"/>
    </font>
    <font>
      <b/>
      <sz val="10"/>
      <color rgb="FF000000"/>
      <name val="Calibri"/>
      <family val="2"/>
    </font>
    <font>
      <b/>
      <sz val="12"/>
      <color rgb="FF000000"/>
      <name val="Calibri"/>
      <family val="2"/>
    </font>
    <font>
      <b/>
      <sz val="11"/>
      <color rgb="FF000000"/>
      <name val="Calibri"/>
      <family val="2"/>
    </font>
    <font>
      <sz val="11"/>
      <color rgb="FF141413"/>
      <name val="Tiempos Text"/>
      <charset val="1"/>
    </font>
    <font>
      <sz val="11"/>
      <color rgb="FF000000"/>
      <name val="Calibri"/>
      <family val="2"/>
      <scheme val="minor"/>
    </font>
    <font>
      <sz val="11"/>
      <color rgb="FF000000"/>
      <name val="Times New Roman"/>
      <family val="1"/>
    </font>
    <font>
      <sz val="11"/>
      <color rgb="FF000000"/>
      <name val="Aptos Narrow"/>
      <family val="2"/>
    </font>
    <font>
      <b/>
      <sz val="11"/>
      <color rgb="FF000000"/>
      <name val="Aptos Narrow"/>
      <family val="2"/>
    </font>
    <font>
      <sz val="11"/>
      <color rgb="FF000000"/>
      <name val="Arial"/>
      <family val="2"/>
      <charset val="1"/>
    </font>
    <font>
      <sz val="11"/>
      <color theme="4"/>
      <name val="Calibri"/>
      <family val="2"/>
    </font>
    <font>
      <sz val="12"/>
      <color rgb="FF000000"/>
      <name val="Calibri"/>
      <family val="2"/>
    </font>
    <font>
      <sz val="11"/>
      <color theme="4"/>
      <name val="Calibri"/>
      <family val="2"/>
      <scheme val="minor"/>
    </font>
  </fonts>
  <fills count="19">
    <fill>
      <patternFill patternType="none"/>
    </fill>
    <fill>
      <patternFill patternType="gray125"/>
    </fill>
    <fill>
      <patternFill patternType="solid">
        <fgColor rgb="FF366092"/>
        <bgColor rgb="FF366092"/>
      </patternFill>
    </fill>
    <fill>
      <patternFill patternType="solid">
        <fgColor rgb="FFD9E1F2"/>
        <bgColor rgb="FFD9E1F2"/>
      </patternFill>
    </fill>
    <fill>
      <patternFill patternType="solid">
        <fgColor rgb="FFF2F2F2"/>
        <bgColor rgb="FFF2F2F2"/>
      </patternFill>
    </fill>
    <fill>
      <patternFill patternType="solid">
        <fgColor rgb="FFF9F9F9"/>
        <bgColor rgb="FFF9F9F9"/>
      </patternFill>
    </fill>
    <fill>
      <patternFill patternType="solid">
        <fgColor rgb="FFFFC000"/>
        <bgColor rgb="FFF9F9F9"/>
      </patternFill>
    </fill>
    <fill>
      <patternFill patternType="solid">
        <fgColor rgb="FFFFFF00"/>
        <bgColor rgb="FFF9F9F9"/>
      </patternFill>
    </fill>
    <fill>
      <patternFill patternType="solid">
        <fgColor theme="3" tint="0.59999389629810485"/>
        <bgColor rgb="FF366092"/>
      </patternFill>
    </fill>
    <fill>
      <patternFill patternType="solid">
        <fgColor rgb="FF0070C0"/>
        <bgColor indexed="64"/>
      </patternFill>
    </fill>
    <fill>
      <patternFill patternType="solid">
        <fgColor rgb="FFFFFF00"/>
        <bgColor indexed="64"/>
      </patternFill>
    </fill>
    <fill>
      <patternFill patternType="solid">
        <fgColor rgb="FF92D050"/>
        <bgColor indexed="64"/>
      </patternFill>
    </fill>
    <fill>
      <patternFill patternType="solid">
        <fgColor rgb="FF00B0F0"/>
        <bgColor rgb="FFF9F9F9"/>
      </patternFill>
    </fill>
    <fill>
      <patternFill patternType="solid">
        <fgColor theme="0" tint="-4.9989318521683403E-2"/>
        <bgColor indexed="64"/>
      </patternFill>
    </fill>
    <fill>
      <patternFill patternType="solid">
        <fgColor rgb="FFC9DAF8"/>
        <bgColor rgb="FFC9DAF8"/>
      </patternFill>
    </fill>
    <fill>
      <patternFill patternType="solid">
        <fgColor theme="4"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rgb="FFA5A5A5"/>
        <bgColor rgb="FFA5A5A5"/>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rgb="FF000000"/>
      </right>
      <top/>
      <bottom style="thin">
        <color indexed="64"/>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9" fillId="0" borderId="0"/>
  </cellStyleXfs>
  <cellXfs count="103">
    <xf numFmtId="0" fontId="0" fillId="0" borderId="0" xfId="0"/>
    <xf numFmtId="0" fontId="0" fillId="0" borderId="0" xfId="0" applyAlignment="1">
      <alignment vertical="top" wrapText="1"/>
    </xf>
    <xf numFmtId="0" fontId="0" fillId="4" borderId="0" xfId="0" applyFill="1"/>
    <xf numFmtId="0" fontId="0" fillId="4" borderId="0" xfId="0" applyFill="1" applyAlignment="1">
      <alignment vertical="top" wrapText="1"/>
    </xf>
    <xf numFmtId="0" fontId="1" fillId="0" borderId="0" xfId="0" applyFont="1"/>
    <xf numFmtId="0" fontId="0" fillId="5" borderId="1" xfId="0" applyFill="1" applyBorder="1"/>
    <xf numFmtId="0" fontId="0" fillId="5" borderId="1" xfId="0" applyFill="1" applyBorder="1" applyAlignment="1">
      <alignment vertical="top" wrapText="1"/>
    </xf>
    <xf numFmtId="0" fontId="0" fillId="0" borderId="1" xfId="0" applyBorder="1"/>
    <xf numFmtId="0" fontId="0" fillId="0" borderId="1" xfId="0" applyBorder="1" applyAlignment="1">
      <alignment vertical="top" wrapText="1"/>
    </xf>
    <xf numFmtId="0" fontId="0" fillId="5"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6" fillId="3" borderId="0" xfId="0" applyFont="1" applyFill="1"/>
    <xf numFmtId="0" fontId="7" fillId="8"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2" fillId="9" borderId="5" xfId="0" applyFont="1" applyFill="1" applyBorder="1" applyAlignment="1">
      <alignment horizontal="left" vertical="top" wrapText="1"/>
    </xf>
    <xf numFmtId="0" fontId="10" fillId="0" borderId="0" xfId="1" applyFont="1" applyAlignment="1">
      <alignment wrapText="1"/>
    </xf>
    <xf numFmtId="0" fontId="11" fillId="0" borderId="0" xfId="1" applyFont="1"/>
    <xf numFmtId="0" fontId="12" fillId="15" borderId="0" xfId="1" applyFont="1" applyFill="1"/>
    <xf numFmtId="0" fontId="14" fillId="0" borderId="6" xfId="1" applyFont="1" applyBorder="1" applyAlignment="1">
      <alignment horizontal="left"/>
    </xf>
    <xf numFmtId="165" fontId="10" fillId="0" borderId="7" xfId="1" applyNumberFormat="1" applyFont="1" applyBorder="1" applyAlignment="1">
      <alignment horizontal="right"/>
    </xf>
    <xf numFmtId="0" fontId="14" fillId="0" borderId="1" xfId="1" applyFont="1" applyBorder="1" applyAlignment="1">
      <alignment horizontal="left"/>
    </xf>
    <xf numFmtId="164" fontId="11" fillId="0" borderId="1" xfId="1" applyNumberFormat="1" applyFont="1" applyBorder="1"/>
    <xf numFmtId="165" fontId="14" fillId="0" borderId="0" xfId="1" applyNumberFormat="1" applyFont="1"/>
    <xf numFmtId="0" fontId="14" fillId="0" borderId="0" xfId="1" applyFont="1" applyAlignment="1">
      <alignment horizontal="left"/>
    </xf>
    <xf numFmtId="164" fontId="11" fillId="0" borderId="0" xfId="1" applyNumberFormat="1" applyFont="1"/>
    <xf numFmtId="0" fontId="3" fillId="12" borderId="2" xfId="0" applyFont="1" applyFill="1" applyBorder="1" applyAlignment="1">
      <alignment horizontal="center" vertical="center"/>
    </xf>
    <xf numFmtId="0" fontId="10" fillId="5" borderId="1" xfId="0" applyFont="1" applyFill="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wrapText="1"/>
    </xf>
    <xf numFmtId="0" fontId="10" fillId="5" borderId="4" xfId="0" applyFont="1" applyFill="1" applyBorder="1" applyAlignment="1">
      <alignment horizontal="center" vertical="center"/>
    </xf>
    <xf numFmtId="0" fontId="10" fillId="5" borderId="4"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8" fillId="2" borderId="0" xfId="0" applyFont="1" applyFill="1"/>
    <xf numFmtId="0" fontId="10" fillId="4" borderId="0" xfId="0" applyFont="1" applyFill="1"/>
    <xf numFmtId="0" fontId="10" fillId="4" borderId="0" xfId="0" applyFont="1" applyFill="1" applyAlignment="1">
      <alignment wrapText="1"/>
    </xf>
    <xf numFmtId="0" fontId="10" fillId="0" borderId="0" xfId="0" applyFont="1"/>
    <xf numFmtId="0" fontId="10" fillId="0" borderId="0" xfId="0" applyFont="1" applyAlignment="1">
      <alignment wrapText="1"/>
    </xf>
    <xf numFmtId="0" fontId="15" fillId="0" borderId="10" xfId="0" applyFont="1" applyBorder="1" applyAlignment="1">
      <alignment wrapText="1"/>
    </xf>
    <xf numFmtId="164" fontId="10" fillId="0" borderId="1" xfId="1" applyNumberFormat="1" applyFont="1" applyBorder="1" applyAlignment="1">
      <alignment horizontal="right"/>
    </xf>
    <xf numFmtId="0" fontId="10" fillId="5" borderId="8"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7" fillId="0" borderId="0" xfId="0" applyFont="1"/>
    <xf numFmtId="0" fontId="18" fillId="0" borderId="0" xfId="0" applyFont="1"/>
    <xf numFmtId="0" fontId="0" fillId="0" borderId="0" xfId="0" applyAlignment="1">
      <alignment wrapText="1"/>
    </xf>
    <xf numFmtId="0" fontId="18" fillId="0" borderId="0" xfId="0" applyFont="1" applyAlignment="1">
      <alignment wrapText="1"/>
    </xf>
    <xf numFmtId="0" fontId="19" fillId="17" borderId="0" xfId="0" applyFont="1" applyFill="1"/>
    <xf numFmtId="0" fontId="19" fillId="17" borderId="0" xfId="0" applyFont="1" applyFill="1" applyAlignment="1">
      <alignment wrapText="1"/>
    </xf>
    <xf numFmtId="0" fontId="20" fillId="0" borderId="0" xfId="0" applyFont="1" applyAlignment="1">
      <alignment readingOrder="1"/>
    </xf>
    <xf numFmtId="0" fontId="21" fillId="4" borderId="0" xfId="0" applyFont="1" applyFill="1" applyAlignment="1">
      <alignment wrapText="1"/>
    </xf>
    <xf numFmtId="165" fontId="22" fillId="0" borderId="10" xfId="1" applyNumberFormat="1" applyFont="1" applyBorder="1" applyAlignment="1">
      <alignment vertical="center" wrapText="1"/>
    </xf>
    <xf numFmtId="0" fontId="11" fillId="0" borderId="1" xfId="1" applyFont="1" applyBorder="1"/>
    <xf numFmtId="165" fontId="22" fillId="10" borderId="6" xfId="1" applyNumberFormat="1" applyFont="1" applyFill="1" applyBorder="1" applyAlignment="1">
      <alignment vertical="center" wrapText="1"/>
    </xf>
    <xf numFmtId="165" fontId="10" fillId="10" borderId="6" xfId="1" applyNumberFormat="1" applyFont="1" applyFill="1" applyBorder="1" applyAlignment="1">
      <alignment vertical="center" wrapText="1"/>
    </xf>
    <xf numFmtId="0" fontId="13" fillId="18" borderId="5" xfId="1" applyFont="1" applyFill="1" applyBorder="1" applyAlignment="1">
      <alignment wrapText="1"/>
    </xf>
    <xf numFmtId="165" fontId="10" fillId="0" borderId="14" xfId="1" applyNumberFormat="1" applyFont="1" applyBorder="1" applyAlignment="1">
      <alignment vertical="center" wrapText="1"/>
    </xf>
    <xf numFmtId="164" fontId="13" fillId="18" borderId="5" xfId="1" applyNumberFormat="1" applyFont="1" applyFill="1" applyBorder="1" applyAlignment="1">
      <alignment wrapText="1"/>
    </xf>
    <xf numFmtId="165" fontId="10" fillId="10" borderId="10" xfId="1" applyNumberFormat="1" applyFont="1" applyFill="1" applyBorder="1" applyAlignment="1">
      <alignment vertical="center" wrapText="1"/>
    </xf>
    <xf numFmtId="0" fontId="0" fillId="0" borderId="4" xfId="0" applyBorder="1" applyAlignment="1">
      <alignment horizontal="center" vertical="center" wrapText="1"/>
    </xf>
    <xf numFmtId="0" fontId="13" fillId="0" borderId="0" xfId="1" applyFont="1" applyAlignment="1">
      <alignment wrapText="1"/>
    </xf>
    <xf numFmtId="0" fontId="11" fillId="0" borderId="8" xfId="1" applyFont="1" applyBorder="1"/>
    <xf numFmtId="0" fontId="13" fillId="18" borderId="15" xfId="1" applyFont="1" applyFill="1" applyBorder="1" applyAlignment="1">
      <alignment wrapText="1"/>
    </xf>
    <xf numFmtId="0" fontId="0" fillId="5" borderId="2" xfId="0" applyFill="1" applyBorder="1" applyAlignment="1">
      <alignment vertical="top" wrapText="1"/>
    </xf>
    <xf numFmtId="0" fontId="15" fillId="0" borderId="10" xfId="0" applyFont="1" applyBorder="1"/>
    <xf numFmtId="0" fontId="15" fillId="0" borderId="16" xfId="0" applyFont="1" applyBorder="1" applyAlignment="1">
      <alignment wrapText="1"/>
    </xf>
    <xf numFmtId="0" fontId="15" fillId="0" borderId="5" xfId="0" applyFont="1" applyBorder="1" applyAlignment="1">
      <alignment wrapText="1"/>
    </xf>
    <xf numFmtId="0" fontId="3" fillId="0" borderId="0" xfId="0" applyFont="1"/>
    <xf numFmtId="0" fontId="23" fillId="5" borderId="1" xfId="0" applyFont="1" applyFill="1" applyBorder="1"/>
    <xf numFmtId="164" fontId="21" fillId="0" borderId="1" xfId="1" applyNumberFormat="1" applyFont="1" applyBorder="1" applyAlignment="1">
      <alignment horizontal="right"/>
    </xf>
    <xf numFmtId="0" fontId="23" fillId="0" borderId="1" xfId="0" applyFont="1" applyBorder="1"/>
    <xf numFmtId="0" fontId="12" fillId="13" borderId="0" xfId="1" applyFont="1" applyFill="1" applyAlignment="1">
      <alignment horizontal="center"/>
    </xf>
    <xf numFmtId="165" fontId="10" fillId="0" borderId="0" xfId="1" applyNumberFormat="1" applyFont="1"/>
    <xf numFmtId="0" fontId="0" fillId="0" borderId="0" xfId="0" applyAlignment="1">
      <alignment vertical="top" wrapText="1"/>
    </xf>
    <xf numFmtId="0" fontId="0" fillId="0" borderId="2" xfId="0" applyBorder="1" applyAlignment="1">
      <alignment horizontal="center" vertical="center"/>
    </xf>
    <xf numFmtId="0" fontId="0" fillId="0" borderId="4" xfId="0" applyBorder="1" applyAlignment="1">
      <alignment horizontal="center" vertical="center"/>
    </xf>
    <xf numFmtId="0" fontId="3" fillId="11" borderId="2" xfId="0" applyFont="1" applyFill="1" applyBorder="1" applyAlignment="1">
      <alignment horizontal="center" vertical="center"/>
    </xf>
    <xf numFmtId="0" fontId="3" fillId="11" borderId="3" xfId="0" applyFont="1" applyFill="1" applyBorder="1" applyAlignment="1">
      <alignment horizontal="center" vertical="center"/>
    </xf>
    <xf numFmtId="0" fontId="7" fillId="8" borderId="1" xfId="0" applyFont="1" applyFill="1" applyBorder="1" applyAlignment="1">
      <alignment horizontal="center" vertical="center" wrapText="1"/>
    </xf>
    <xf numFmtId="0" fontId="13" fillId="18" borderId="11" xfId="1" applyFont="1" applyFill="1" applyBorder="1" applyAlignment="1">
      <alignment horizontal="right" vertical="center" wrapText="1"/>
    </xf>
    <xf numFmtId="0" fontId="13" fillId="18" borderId="12" xfId="1" applyFont="1" applyFill="1" applyBorder="1" applyAlignment="1">
      <alignment horizontal="right" vertical="center" wrapText="1"/>
    </xf>
    <xf numFmtId="0" fontId="13" fillId="18" borderId="13" xfId="1" applyFont="1" applyFill="1" applyBorder="1" applyAlignment="1">
      <alignment horizontal="right" vertical="center" wrapText="1"/>
    </xf>
    <xf numFmtId="0" fontId="0" fillId="0" borderId="3" xfId="0" applyBorder="1" applyAlignment="1">
      <alignment horizontal="center" vertic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7" borderId="3"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0" fillId="0" borderId="0" xfId="0" applyAlignment="1">
      <alignment horizontal="left" vertical="center"/>
    </xf>
    <xf numFmtId="0" fontId="10" fillId="4" borderId="0" xfId="0" applyFont="1" applyFill="1" applyAlignment="1">
      <alignment horizontal="left" vertical="center"/>
    </xf>
    <xf numFmtId="0" fontId="13" fillId="14" borderId="0" xfId="1" applyFont="1" applyFill="1" applyAlignment="1">
      <alignment horizontal="right"/>
    </xf>
    <xf numFmtId="0" fontId="11" fillId="0" borderId="0" xfId="1" applyFont="1" applyAlignment="1">
      <alignment horizontal="right"/>
    </xf>
    <xf numFmtId="0" fontId="10" fillId="0" borderId="0" xfId="1" applyFont="1" applyAlignment="1">
      <alignment horizontal="right"/>
    </xf>
    <xf numFmtId="0" fontId="14" fillId="0" borderId="6" xfId="1" applyFont="1" applyBorder="1" applyAlignment="1">
      <alignment horizontal="right"/>
    </xf>
    <xf numFmtId="165" fontId="11" fillId="10" borderId="1" xfId="1" applyNumberFormat="1" applyFont="1" applyFill="1" applyBorder="1" applyAlignment="1">
      <alignment horizontal="right"/>
    </xf>
    <xf numFmtId="165" fontId="10" fillId="0" borderId="0" xfId="1" applyNumberFormat="1" applyFont="1" applyAlignment="1">
      <alignment horizontal="center"/>
    </xf>
    <xf numFmtId="0" fontId="4" fillId="16" borderId="0" xfId="0" applyFont="1" applyFill="1" applyAlignment="1"/>
    <xf numFmtId="0" fontId="0" fillId="16" borderId="0" xfId="0" applyFill="1" applyAlignment="1"/>
    <xf numFmtId="0" fontId="5" fillId="2" borderId="0" xfId="0" applyFont="1" applyFill="1" applyAlignment="1"/>
    <xf numFmtId="0" fontId="0" fillId="0" borderId="0" xfId="0" applyAlignment="1"/>
  </cellXfs>
  <cellStyles count="2">
    <cellStyle name="Normal" xfId="0" builtinId="0"/>
    <cellStyle name="Normal 2" xfId="1" xr:uid="{1D993FF9-F8BF-426C-8B5E-A76960DD955F}"/>
  </cellStyles>
  <dxfs count="2">
    <dxf>
      <fill>
        <patternFill patternType="solid">
          <fgColor rgb="FFB7E1CD"/>
          <bgColor rgb="FFB7E1CD"/>
        </patternFill>
      </fill>
    </dxf>
    <dxf>
      <fill>
        <patternFill patternType="solid">
          <fgColor rgb="FFB7E1CD"/>
          <bgColor rgb="FFB7E1C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15</xdr:col>
      <xdr:colOff>142875</xdr:colOff>
      <xdr:row>46</xdr:row>
      <xdr:rowOff>47625</xdr:rowOff>
    </xdr:to>
    <xdr:pic>
      <xdr:nvPicPr>
        <xdr:cNvPr id="5" name="Picture 3">
          <a:extLst>
            <a:ext uri="{FF2B5EF4-FFF2-40B4-BE49-F238E27FC236}">
              <a16:creationId xmlns:a16="http://schemas.microsoft.com/office/drawing/2014/main" id="{DF851416-7A32-E96E-17C7-63E3EA71772F}"/>
            </a:ext>
            <a:ext uri="{147F2762-F138-4A5C-976F-8EAC2B608ADB}">
              <a16:predDERef xmlns:a16="http://schemas.microsoft.com/office/drawing/2014/main" pred="{6D0D2BAA-DE27-1E11-4F9E-2C4D61F6CBCB}"/>
            </a:ext>
          </a:extLst>
        </xdr:cNvPr>
        <xdr:cNvPicPr>
          <a:picLocks noChangeAspect="1"/>
        </xdr:cNvPicPr>
      </xdr:nvPicPr>
      <xdr:blipFill>
        <a:blip xmlns:r="http://schemas.openxmlformats.org/officeDocument/2006/relationships" r:embed="rId1"/>
        <a:stretch>
          <a:fillRect/>
        </a:stretch>
      </xdr:blipFill>
      <xdr:spPr>
        <a:xfrm>
          <a:off x="590550" y="0"/>
          <a:ext cx="8410575" cy="837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457200</xdr:colOff>
      <xdr:row>86</xdr:row>
      <xdr:rowOff>171450</xdr:rowOff>
    </xdr:to>
    <xdr:pic>
      <xdr:nvPicPr>
        <xdr:cNvPr id="3" name="Picture 1">
          <a:extLst>
            <a:ext uri="{FF2B5EF4-FFF2-40B4-BE49-F238E27FC236}">
              <a16:creationId xmlns:a16="http://schemas.microsoft.com/office/drawing/2014/main" id="{4015CCAC-3C47-E705-CEC8-66775EBAC211}"/>
            </a:ext>
          </a:extLst>
        </xdr:cNvPr>
        <xdr:cNvPicPr>
          <a:picLocks noChangeAspect="1"/>
        </xdr:cNvPicPr>
      </xdr:nvPicPr>
      <xdr:blipFill>
        <a:blip xmlns:r="http://schemas.openxmlformats.org/officeDocument/2006/relationships" r:embed="rId1"/>
        <a:stretch>
          <a:fillRect/>
        </a:stretch>
      </xdr:blipFill>
      <xdr:spPr>
        <a:xfrm>
          <a:off x="0" y="0"/>
          <a:ext cx="8134350" cy="1573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C7A90AB-460C-4FAE-A5DF-55EC0201552B}">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opLeftCell="D1" workbookViewId="0">
      <selection activeCell="D4" sqref="D4"/>
    </sheetView>
  </sheetViews>
  <sheetFormatPr defaultColWidth="8.85546875" defaultRowHeight="14.45"/>
  <cols>
    <col min="1" max="1" width="35" customWidth="1"/>
    <col min="2" max="2" width="80" customWidth="1"/>
  </cols>
  <sheetData>
    <row r="1" spans="1:2" ht="18.600000000000001">
      <c r="A1" s="99" t="s">
        <v>0</v>
      </c>
      <c r="B1" s="100"/>
    </row>
    <row r="3" spans="1:2">
      <c r="A3" s="101" t="s">
        <v>1</v>
      </c>
      <c r="B3" s="102"/>
    </row>
    <row r="4" spans="1:2" ht="99.95" customHeight="1">
      <c r="A4" s="73" t="s">
        <v>2</v>
      </c>
      <c r="B4" s="102"/>
    </row>
    <row r="6" spans="1:2">
      <c r="A6" s="101" t="s">
        <v>3</v>
      </c>
      <c r="B6" s="102"/>
    </row>
    <row r="7" spans="1:2" ht="138.94999999999999" customHeight="1">
      <c r="A7" s="73" t="s">
        <v>4</v>
      </c>
      <c r="B7" s="102"/>
    </row>
    <row r="9" spans="1:2">
      <c r="A9" s="101" t="s">
        <v>5</v>
      </c>
      <c r="B9" s="102"/>
    </row>
    <row r="10" spans="1:2" ht="366" customHeight="1">
      <c r="A10" s="73" t="s">
        <v>6</v>
      </c>
      <c r="B10" s="102"/>
    </row>
    <row r="12" spans="1:2">
      <c r="A12" s="101" t="s">
        <v>7</v>
      </c>
      <c r="B12" s="102"/>
    </row>
    <row r="13" spans="1:2" ht="351.6" customHeight="1">
      <c r="A13" s="73" t="s">
        <v>8</v>
      </c>
      <c r="B13" s="102"/>
    </row>
    <row r="15" spans="1:2">
      <c r="A15" s="101" t="s">
        <v>9</v>
      </c>
      <c r="B15" s="102"/>
    </row>
    <row r="16" spans="1:2" ht="108.6" customHeight="1">
      <c r="A16" s="73" t="s">
        <v>10</v>
      </c>
      <c r="B16" s="102"/>
    </row>
    <row r="18" spans="1:2">
      <c r="A18" s="101" t="s">
        <v>11</v>
      </c>
      <c r="B18" s="102"/>
    </row>
    <row r="19" spans="1:2" ht="226.5" customHeight="1">
      <c r="A19" s="73" t="s">
        <v>12</v>
      </c>
      <c r="B19" s="102"/>
    </row>
    <row r="21" spans="1:2">
      <c r="A21" s="101" t="s">
        <v>13</v>
      </c>
      <c r="B21" s="102"/>
    </row>
    <row r="22" spans="1:2">
      <c r="A22" s="12" t="s">
        <v>14</v>
      </c>
      <c r="B22" s="12" t="s">
        <v>15</v>
      </c>
    </row>
    <row r="23" spans="1:2">
      <c r="A23" t="s">
        <v>16</v>
      </c>
      <c r="B23" s="1" t="s">
        <v>17</v>
      </c>
    </row>
    <row r="24" spans="1:2">
      <c r="A24" s="2" t="s">
        <v>18</v>
      </c>
      <c r="B24" s="3" t="s">
        <v>19</v>
      </c>
    </row>
    <row r="25" spans="1:2">
      <c r="A25" t="s">
        <v>20</v>
      </c>
      <c r="B25" s="1" t="s">
        <v>21</v>
      </c>
    </row>
    <row r="26" spans="1:2">
      <c r="A26" s="2" t="s">
        <v>22</v>
      </c>
      <c r="B26" s="3" t="s">
        <v>23</v>
      </c>
    </row>
    <row r="27" spans="1:2">
      <c r="A27" t="s">
        <v>24</v>
      </c>
      <c r="B27" s="1" t="s">
        <v>25</v>
      </c>
    </row>
    <row r="28" spans="1:2">
      <c r="A28" s="2" t="s">
        <v>26</v>
      </c>
      <c r="B28" s="3" t="s">
        <v>27</v>
      </c>
    </row>
    <row r="29" spans="1:2">
      <c r="A29" t="s">
        <v>28</v>
      </c>
      <c r="B29" s="1" t="s">
        <v>29</v>
      </c>
    </row>
    <row r="30" spans="1:2">
      <c r="A30" s="2" t="s">
        <v>30</v>
      </c>
      <c r="B30" s="3" t="s">
        <v>31</v>
      </c>
    </row>
    <row r="31" spans="1:2">
      <c r="A31" t="s">
        <v>32</v>
      </c>
      <c r="B31" s="1" t="s">
        <v>33</v>
      </c>
    </row>
    <row r="32" spans="1:2">
      <c r="A32" s="2" t="s">
        <v>34</v>
      </c>
      <c r="B32" s="3" t="s">
        <v>35</v>
      </c>
    </row>
    <row r="33" spans="1:2">
      <c r="A33" t="s">
        <v>36</v>
      </c>
      <c r="B33" s="1" t="s">
        <v>37</v>
      </c>
    </row>
    <row r="34" spans="1:2">
      <c r="A34" s="2" t="s">
        <v>38</v>
      </c>
      <c r="B34" s="3" t="s">
        <v>39</v>
      </c>
    </row>
  </sheetData>
  <mergeCells count="14">
    <mergeCell ref="A1:B1"/>
    <mergeCell ref="A18:B18"/>
    <mergeCell ref="A9:B9"/>
    <mergeCell ref="A3:B3"/>
    <mergeCell ref="A6:B6"/>
    <mergeCell ref="A12:B12"/>
    <mergeCell ref="A4:B4"/>
    <mergeCell ref="A21:B21"/>
    <mergeCell ref="A16:B16"/>
    <mergeCell ref="A15:B15"/>
    <mergeCell ref="A7:B7"/>
    <mergeCell ref="A19:B19"/>
    <mergeCell ref="A10:B10"/>
    <mergeCell ref="A13:B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42"/>
  <sheetViews>
    <sheetView tabSelected="1" topLeftCell="D1" workbookViewId="0">
      <pane ySplit="2" topLeftCell="E30" activePane="bottomLeft" state="frozen"/>
      <selection pane="bottomLeft" activeCell="F34" sqref="F34:I34"/>
    </sheetView>
  </sheetViews>
  <sheetFormatPr defaultColWidth="8.85546875" defaultRowHeight="14.45"/>
  <cols>
    <col min="1" max="1" width="15" customWidth="1"/>
    <col min="2" max="2" width="28.28515625" style="11" customWidth="1"/>
    <col min="3" max="3" width="30" customWidth="1"/>
    <col min="4" max="4" width="60" customWidth="1"/>
    <col min="5" max="5" width="61.5703125" customWidth="1"/>
    <col min="6" max="6" width="13.140625" customWidth="1"/>
    <col min="7" max="8" width="10.42578125" customWidth="1"/>
    <col min="9" max="9" width="11.42578125" customWidth="1"/>
    <col min="10" max="10" width="40" customWidth="1"/>
    <col min="11" max="11" width="30" customWidth="1"/>
  </cols>
  <sheetData>
    <row r="1" spans="1:11" ht="15.6">
      <c r="A1" s="78" t="s">
        <v>40</v>
      </c>
      <c r="B1" s="78" t="s">
        <v>41</v>
      </c>
      <c r="C1" s="78" t="s">
        <v>42</v>
      </c>
      <c r="D1" s="78" t="s">
        <v>43</v>
      </c>
      <c r="E1" s="78" t="s">
        <v>44</v>
      </c>
      <c r="F1" s="78" t="s">
        <v>45</v>
      </c>
      <c r="G1" s="78"/>
      <c r="H1" s="78"/>
      <c r="I1" s="78" t="s">
        <v>46</v>
      </c>
      <c r="J1" s="78" t="s">
        <v>47</v>
      </c>
      <c r="K1" s="78" t="s">
        <v>48</v>
      </c>
    </row>
    <row r="2" spans="1:11" ht="30.95">
      <c r="A2" s="78"/>
      <c r="B2" s="78"/>
      <c r="C2" s="78"/>
      <c r="D2" s="78"/>
      <c r="E2" s="78"/>
      <c r="F2" s="13" t="s">
        <v>49</v>
      </c>
      <c r="G2" s="13" t="s">
        <v>50</v>
      </c>
      <c r="H2" s="13" t="s">
        <v>51</v>
      </c>
      <c r="I2" s="78"/>
      <c r="J2" s="78"/>
      <c r="K2" s="78"/>
    </row>
    <row r="3" spans="1:11" ht="29.1">
      <c r="A3" s="86" t="s">
        <v>50</v>
      </c>
      <c r="B3" s="9" t="s">
        <v>52</v>
      </c>
      <c r="C3" s="9" t="s">
        <v>53</v>
      </c>
      <c r="D3" s="14" t="s">
        <v>54</v>
      </c>
      <c r="E3" s="14" t="s">
        <v>55</v>
      </c>
      <c r="F3" s="5">
        <v>0</v>
      </c>
      <c r="G3" s="5">
        <v>1</v>
      </c>
      <c r="H3" s="5">
        <v>0</v>
      </c>
      <c r="I3" s="5">
        <v>1</v>
      </c>
      <c r="J3" s="6"/>
      <c r="K3" s="6"/>
    </row>
    <row r="4" spans="1:11" ht="29.1">
      <c r="A4" s="87"/>
      <c r="B4" s="10" t="s">
        <v>56</v>
      </c>
      <c r="C4" s="10" t="s">
        <v>57</v>
      </c>
      <c r="D4" s="15" t="s">
        <v>58</v>
      </c>
      <c r="E4" s="15" t="s">
        <v>59</v>
      </c>
      <c r="F4" s="7">
        <v>0</v>
      </c>
      <c r="G4" s="7">
        <v>0.2</v>
      </c>
      <c r="H4" s="7">
        <v>0</v>
      </c>
      <c r="I4" s="7">
        <v>1</v>
      </c>
      <c r="J4" s="8"/>
      <c r="K4" s="8"/>
    </row>
    <row r="5" spans="1:11" ht="32.1" customHeight="1">
      <c r="A5" s="87"/>
      <c r="B5" s="83" t="s">
        <v>60</v>
      </c>
      <c r="C5" s="9" t="s">
        <v>61</v>
      </c>
      <c r="D5" s="14" t="s">
        <v>62</v>
      </c>
      <c r="E5" s="14" t="s">
        <v>63</v>
      </c>
      <c r="F5" s="5">
        <v>0</v>
      </c>
      <c r="G5" s="5">
        <v>0.3</v>
      </c>
      <c r="H5" s="5">
        <v>0</v>
      </c>
      <c r="I5" s="5">
        <v>1</v>
      </c>
      <c r="J5" s="6"/>
      <c r="K5" s="6"/>
    </row>
    <row r="6" spans="1:11" ht="32.1" customHeight="1">
      <c r="A6" s="87"/>
      <c r="B6" s="84"/>
      <c r="C6" s="10" t="s">
        <v>64</v>
      </c>
      <c r="D6" s="15" t="s">
        <v>65</v>
      </c>
      <c r="E6" s="15" t="s">
        <v>66</v>
      </c>
      <c r="F6" s="7">
        <v>0</v>
      </c>
      <c r="G6" s="7">
        <v>0.4</v>
      </c>
      <c r="H6" s="7">
        <v>0</v>
      </c>
      <c r="I6" s="7">
        <v>1</v>
      </c>
      <c r="J6" s="8"/>
      <c r="K6" s="8"/>
    </row>
    <row r="7" spans="1:11" ht="29.1">
      <c r="A7" s="87"/>
      <c r="B7" s="85"/>
      <c r="C7" s="10" t="s">
        <v>67</v>
      </c>
      <c r="D7" s="15" t="s">
        <v>68</v>
      </c>
      <c r="E7" s="15" t="s">
        <v>69</v>
      </c>
      <c r="F7" s="7">
        <v>0</v>
      </c>
      <c r="G7" s="7">
        <v>0.1</v>
      </c>
      <c r="H7" s="7">
        <v>0</v>
      </c>
      <c r="I7" s="7">
        <v>1</v>
      </c>
      <c r="J7" s="8"/>
      <c r="K7" s="8"/>
    </row>
    <row r="8" spans="1:11" ht="29.1">
      <c r="A8" s="88"/>
      <c r="B8" s="9" t="s">
        <v>70</v>
      </c>
      <c r="C8" s="9" t="s">
        <v>71</v>
      </c>
      <c r="D8" s="14" t="s">
        <v>72</v>
      </c>
      <c r="E8" s="14" t="s">
        <v>73</v>
      </c>
      <c r="F8" s="5">
        <v>0</v>
      </c>
      <c r="G8" s="5">
        <v>2</v>
      </c>
      <c r="H8" s="5">
        <v>0</v>
      </c>
      <c r="I8" s="5">
        <v>1</v>
      </c>
      <c r="J8" s="6"/>
      <c r="K8" s="6"/>
    </row>
    <row r="9" spans="1:11" ht="32.1" customHeight="1">
      <c r="A9" s="76" t="s">
        <v>74</v>
      </c>
      <c r="B9" s="10" t="s">
        <v>75</v>
      </c>
      <c r="C9" s="10" t="s">
        <v>76</v>
      </c>
      <c r="D9" s="15" t="s">
        <v>77</v>
      </c>
      <c r="E9" s="15" t="s">
        <v>78</v>
      </c>
      <c r="F9" s="7">
        <v>1</v>
      </c>
      <c r="G9" s="7">
        <v>0</v>
      </c>
      <c r="H9" s="7">
        <v>0</v>
      </c>
      <c r="I9" s="7">
        <v>1</v>
      </c>
      <c r="J9" s="8"/>
      <c r="K9" s="8"/>
    </row>
    <row r="10" spans="1:11" ht="48" customHeight="1">
      <c r="A10" s="77"/>
      <c r="B10" s="10" t="s">
        <v>79</v>
      </c>
      <c r="C10" s="10" t="s">
        <v>80</v>
      </c>
      <c r="D10" s="15" t="s">
        <v>81</v>
      </c>
      <c r="E10" s="15" t="s">
        <v>82</v>
      </c>
      <c r="F10" s="7">
        <v>3</v>
      </c>
      <c r="G10" s="7">
        <v>0</v>
      </c>
      <c r="H10" s="7">
        <v>1</v>
      </c>
      <c r="I10" s="7">
        <v>1</v>
      </c>
      <c r="J10" s="8"/>
      <c r="K10" s="8"/>
    </row>
    <row r="11" spans="1:11" ht="48" customHeight="1">
      <c r="A11" s="77"/>
      <c r="B11" s="9" t="s">
        <v>83</v>
      </c>
      <c r="C11" s="28" t="s">
        <v>84</v>
      </c>
      <c r="D11" s="41" t="s">
        <v>85</v>
      </c>
      <c r="E11" s="41" t="s">
        <v>86</v>
      </c>
      <c r="F11" s="5">
        <v>2</v>
      </c>
      <c r="G11" s="5">
        <v>0</v>
      </c>
      <c r="H11" s="5">
        <v>0</v>
      </c>
      <c r="I11" s="5">
        <v>1</v>
      </c>
      <c r="J11" s="6"/>
      <c r="K11" s="6"/>
    </row>
    <row r="12" spans="1:11" ht="32.1" customHeight="1">
      <c r="A12" s="77"/>
      <c r="B12" s="74" t="s">
        <v>87</v>
      </c>
      <c r="C12" s="29" t="s">
        <v>88</v>
      </c>
      <c r="D12" s="30" t="s">
        <v>89</v>
      </c>
      <c r="E12" s="30" t="s">
        <v>90</v>
      </c>
      <c r="F12" s="7">
        <v>2</v>
      </c>
      <c r="G12" s="7">
        <v>0</v>
      </c>
      <c r="H12" s="7">
        <v>0</v>
      </c>
      <c r="I12" s="7">
        <v>1</v>
      </c>
      <c r="J12" s="8"/>
      <c r="K12" s="8"/>
    </row>
    <row r="13" spans="1:11" ht="80.099999999999994" customHeight="1">
      <c r="A13" s="77"/>
      <c r="B13" s="82"/>
      <c r="C13" s="31" t="s">
        <v>91</v>
      </c>
      <c r="D13" s="30" t="s">
        <v>92</v>
      </c>
      <c r="E13" s="30" t="s">
        <v>93</v>
      </c>
      <c r="F13" s="5">
        <v>2</v>
      </c>
      <c r="G13" s="5">
        <v>0</v>
      </c>
      <c r="H13" s="5">
        <v>0</v>
      </c>
      <c r="I13" s="5">
        <v>1</v>
      </c>
      <c r="J13" s="6"/>
      <c r="K13" s="6"/>
    </row>
    <row r="14" spans="1:11" ht="32.1" customHeight="1">
      <c r="A14" s="77"/>
      <c r="B14" s="82"/>
      <c r="C14" s="32" t="s">
        <v>94</v>
      </c>
      <c r="D14" s="33" t="s">
        <v>95</v>
      </c>
      <c r="E14" s="30" t="s">
        <v>96</v>
      </c>
      <c r="F14" s="5">
        <v>1</v>
      </c>
      <c r="G14" s="5">
        <v>0</v>
      </c>
      <c r="H14" s="5">
        <v>0</v>
      </c>
      <c r="I14" s="5">
        <v>1</v>
      </c>
      <c r="J14" s="6"/>
      <c r="K14" s="6"/>
    </row>
    <row r="15" spans="1:11" ht="32.1" customHeight="1">
      <c r="A15" s="77"/>
      <c r="B15" s="82"/>
      <c r="C15" s="32" t="s">
        <v>97</v>
      </c>
      <c r="D15" s="33" t="s">
        <v>98</v>
      </c>
      <c r="E15" s="33" t="s">
        <v>99</v>
      </c>
      <c r="F15" s="5">
        <v>1</v>
      </c>
      <c r="G15" s="5">
        <v>0</v>
      </c>
      <c r="H15" s="5">
        <v>0</v>
      </c>
      <c r="I15" s="5">
        <v>1</v>
      </c>
      <c r="J15" s="6"/>
      <c r="K15" s="6"/>
    </row>
    <row r="16" spans="1:11" ht="48" customHeight="1">
      <c r="A16" s="77"/>
      <c r="B16" s="75"/>
      <c r="C16" s="32" t="s">
        <v>100</v>
      </c>
      <c r="D16" s="33" t="s">
        <v>101</v>
      </c>
      <c r="E16" s="33" t="s">
        <v>102</v>
      </c>
      <c r="F16" s="5">
        <v>1</v>
      </c>
      <c r="G16" s="5">
        <v>0</v>
      </c>
      <c r="H16" s="5">
        <v>0</v>
      </c>
      <c r="I16" s="5">
        <v>1</v>
      </c>
      <c r="J16" s="6"/>
      <c r="K16" s="6"/>
    </row>
    <row r="17" spans="1:40" ht="128.25" customHeight="1">
      <c r="A17" s="77"/>
      <c r="B17" s="59" t="s">
        <v>103</v>
      </c>
      <c r="C17" s="32" t="s">
        <v>104</v>
      </c>
      <c r="D17" s="33" t="s">
        <v>105</v>
      </c>
      <c r="E17" s="33" t="s">
        <v>106</v>
      </c>
      <c r="F17" s="5">
        <v>1</v>
      </c>
      <c r="G17" s="5">
        <v>0</v>
      </c>
      <c r="H17" s="5">
        <v>0</v>
      </c>
      <c r="I17" s="5">
        <v>1</v>
      </c>
      <c r="J17" s="6"/>
      <c r="K17" s="6"/>
    </row>
    <row r="18" spans="1:40" ht="132" customHeight="1">
      <c r="A18" s="77"/>
      <c r="B18" s="10" t="s">
        <v>107</v>
      </c>
      <c r="C18" s="10" t="s">
        <v>107</v>
      </c>
      <c r="D18" s="15" t="s">
        <v>108</v>
      </c>
      <c r="E18" s="15" t="s">
        <v>109</v>
      </c>
      <c r="F18" s="7">
        <v>2</v>
      </c>
      <c r="G18" s="7">
        <v>0</v>
      </c>
      <c r="H18" s="7">
        <v>1</v>
      </c>
      <c r="I18" s="7">
        <v>1</v>
      </c>
      <c r="J18" s="8"/>
      <c r="K18" s="8"/>
    </row>
    <row r="19" spans="1:40" ht="72.599999999999994">
      <c r="A19" s="77"/>
      <c r="B19" s="10" t="s">
        <v>110</v>
      </c>
      <c r="C19" s="10" t="s">
        <v>111</v>
      </c>
      <c r="D19" s="15" t="s">
        <v>112</v>
      </c>
      <c r="E19" s="15" t="s">
        <v>113</v>
      </c>
      <c r="F19" s="70">
        <v>0.5</v>
      </c>
      <c r="G19" s="7">
        <v>0</v>
      </c>
      <c r="H19" s="7">
        <v>0</v>
      </c>
      <c r="I19" s="7">
        <v>1</v>
      </c>
      <c r="J19" s="8"/>
      <c r="K19" s="8"/>
    </row>
    <row r="20" spans="1:40" ht="80.099999999999994" customHeight="1">
      <c r="A20" s="77"/>
      <c r="B20" s="10" t="s">
        <v>114</v>
      </c>
      <c r="C20" s="15" t="s">
        <v>115</v>
      </c>
      <c r="D20" s="15" t="s">
        <v>116</v>
      </c>
      <c r="E20" s="15" t="s">
        <v>117</v>
      </c>
      <c r="F20" s="7">
        <v>1</v>
      </c>
      <c r="G20" s="7">
        <v>0</v>
      </c>
      <c r="H20" s="7">
        <v>0</v>
      </c>
      <c r="I20" s="7">
        <v>1</v>
      </c>
      <c r="J20" s="8"/>
      <c r="K20" s="8"/>
    </row>
    <row r="21" spans="1:40" ht="57.95" customHeight="1">
      <c r="A21" s="77"/>
      <c r="B21" s="74" t="s">
        <v>118</v>
      </c>
      <c r="C21" s="10" t="s">
        <v>119</v>
      </c>
      <c r="D21" s="15" t="s">
        <v>120</v>
      </c>
      <c r="E21" s="15" t="s">
        <v>121</v>
      </c>
      <c r="F21" s="7">
        <v>1</v>
      </c>
      <c r="G21" s="7">
        <v>0</v>
      </c>
      <c r="H21" s="7">
        <v>1</v>
      </c>
      <c r="I21" s="7">
        <v>1</v>
      </c>
      <c r="J21" s="8"/>
      <c r="K21" s="8"/>
    </row>
    <row r="22" spans="1:40" ht="48" customHeight="1">
      <c r="A22" s="77"/>
      <c r="B22" s="75"/>
      <c r="C22" s="10" t="s">
        <v>122</v>
      </c>
      <c r="D22" s="15" t="s">
        <v>123</v>
      </c>
      <c r="E22" s="15" t="s">
        <v>124</v>
      </c>
      <c r="F22" s="7">
        <v>1</v>
      </c>
      <c r="G22" s="7">
        <v>0</v>
      </c>
      <c r="H22" s="7">
        <v>0</v>
      </c>
      <c r="I22" s="7">
        <v>1</v>
      </c>
      <c r="J22" s="8"/>
      <c r="K22" s="8"/>
    </row>
    <row r="23" spans="1:40" ht="57.95">
      <c r="A23" s="89" t="s">
        <v>125</v>
      </c>
      <c r="B23" s="10" t="s">
        <v>126</v>
      </c>
      <c r="C23" s="10" t="s">
        <v>127</v>
      </c>
      <c r="D23" s="15" t="s">
        <v>128</v>
      </c>
      <c r="E23" s="15" t="s">
        <v>129</v>
      </c>
      <c r="F23" s="7">
        <v>1</v>
      </c>
      <c r="G23" s="7">
        <v>0</v>
      </c>
      <c r="H23" s="7">
        <v>3</v>
      </c>
      <c r="I23" s="7">
        <v>1</v>
      </c>
      <c r="J23" s="8"/>
      <c r="K23" s="8"/>
    </row>
    <row r="24" spans="1:40" ht="29.1">
      <c r="A24" s="90"/>
      <c r="B24" s="9" t="s">
        <v>130</v>
      </c>
      <c r="C24" s="9" t="s">
        <v>131</v>
      </c>
      <c r="D24" s="42" t="s">
        <v>132</v>
      </c>
      <c r="E24" s="14" t="s">
        <v>133</v>
      </c>
      <c r="F24" s="5">
        <v>1</v>
      </c>
      <c r="G24" s="5">
        <v>1</v>
      </c>
      <c r="H24" s="5">
        <v>3</v>
      </c>
      <c r="I24" s="5">
        <v>1</v>
      </c>
      <c r="J24" s="6"/>
      <c r="K24" s="6"/>
    </row>
    <row r="25" spans="1:40" ht="381.75" customHeight="1">
      <c r="A25" s="27" t="s">
        <v>134</v>
      </c>
      <c r="B25" s="9" t="s">
        <v>135</v>
      </c>
      <c r="C25" s="9" t="s">
        <v>136</v>
      </c>
      <c r="D25" s="14" t="s">
        <v>137</v>
      </c>
      <c r="E25" s="14" t="s">
        <v>138</v>
      </c>
      <c r="F25" s="68">
        <v>2</v>
      </c>
      <c r="G25" s="68">
        <v>1</v>
      </c>
      <c r="H25" s="5">
        <v>0</v>
      </c>
      <c r="I25" s="5">
        <v>1</v>
      </c>
      <c r="J25" s="6"/>
      <c r="K25" s="63"/>
    </row>
    <row r="26" spans="1:40" ht="15.6">
      <c r="A26" s="79" t="s">
        <v>139</v>
      </c>
      <c r="B26" s="80"/>
      <c r="C26" s="80"/>
      <c r="D26" s="80"/>
      <c r="E26" s="81"/>
      <c r="F26" s="57">
        <f t="shared" ref="F26:G26" si="0">SUM(F3:F25)</f>
        <v>23.5</v>
      </c>
      <c r="G26" s="57">
        <f t="shared" si="0"/>
        <v>6</v>
      </c>
      <c r="H26" s="57">
        <f>SUM(H3:H25)</f>
        <v>9</v>
      </c>
      <c r="I26" s="55"/>
      <c r="J26" s="62">
        <f t="shared" ref="J26" si="1">SUM(J3:J24)</f>
        <v>0</v>
      </c>
      <c r="K26" s="51"/>
      <c r="L26" s="60"/>
      <c r="M26" s="60"/>
      <c r="N26" s="60"/>
      <c r="O26" s="18"/>
      <c r="P26" s="18"/>
      <c r="Q26" s="18"/>
      <c r="R26" s="18"/>
      <c r="S26" s="61"/>
      <c r="T26" s="52"/>
      <c r="U26" s="52"/>
      <c r="V26" s="52"/>
      <c r="W26" s="52"/>
      <c r="X26" s="52"/>
      <c r="Y26" s="52"/>
      <c r="Z26" s="52"/>
      <c r="AA26" s="18"/>
      <c r="AB26" s="18"/>
      <c r="AC26" s="18"/>
      <c r="AD26" s="18"/>
      <c r="AE26" s="18"/>
      <c r="AF26" s="18"/>
      <c r="AG26" s="18"/>
      <c r="AH26" s="18"/>
      <c r="AI26" s="18"/>
      <c r="AJ26" s="18"/>
      <c r="AK26" s="18"/>
      <c r="AL26" s="18"/>
      <c r="AM26" s="18"/>
      <c r="AN26" s="18"/>
    </row>
    <row r="27" spans="1:40" ht="15.6" hidden="1">
      <c r="F27" s="53">
        <v>140</v>
      </c>
      <c r="G27" s="54">
        <v>120</v>
      </c>
      <c r="H27" s="58">
        <v>115</v>
      </c>
      <c r="I27" s="56"/>
      <c r="J27" s="56"/>
    </row>
    <row r="28" spans="1:40">
      <c r="A28" s="4"/>
      <c r="F28" s="4"/>
      <c r="G28" s="4"/>
      <c r="H28" s="4"/>
    </row>
    <row r="30" spans="1:40">
      <c r="A30" s="4"/>
      <c r="F30" s="4"/>
      <c r="G30" s="4"/>
      <c r="H30" s="4"/>
    </row>
    <row r="32" spans="1:40" ht="15">
      <c r="E32" s="17"/>
      <c r="F32" s="18"/>
      <c r="G32" s="18"/>
      <c r="H32" s="18"/>
      <c r="I32" s="18"/>
      <c r="J32" s="18"/>
      <c r="K32" s="18"/>
      <c r="L32" s="18"/>
      <c r="M32" s="18"/>
      <c r="N32" s="18"/>
      <c r="O32" s="18"/>
    </row>
    <row r="33" spans="5:17" ht="14.45" customHeight="1">
      <c r="E33" s="17"/>
      <c r="F33" s="18"/>
      <c r="G33" s="18"/>
      <c r="H33" s="18"/>
      <c r="I33" s="18"/>
      <c r="J33" s="18"/>
      <c r="M33" s="71" t="s">
        <v>140</v>
      </c>
      <c r="N33" s="71"/>
      <c r="O33" s="71"/>
      <c r="P33" s="71"/>
      <c r="Q33" s="71"/>
    </row>
    <row r="34" spans="5:17" ht="15.6" customHeight="1">
      <c r="E34" s="18"/>
      <c r="F34" s="93" t="s">
        <v>141</v>
      </c>
      <c r="G34" s="94"/>
      <c r="H34" s="94"/>
      <c r="I34" s="94"/>
      <c r="J34" s="95"/>
      <c r="M34" s="19" t="s">
        <v>142</v>
      </c>
      <c r="N34" s="19" t="s">
        <v>143</v>
      </c>
      <c r="O34" s="19" t="s">
        <v>144</v>
      </c>
      <c r="P34" s="19" t="s">
        <v>145</v>
      </c>
      <c r="Q34" s="19" t="s">
        <v>139</v>
      </c>
    </row>
    <row r="35" spans="5:17" ht="14.45" customHeight="1">
      <c r="E35" s="26">
        <f>G35*9</f>
        <v>211.5</v>
      </c>
      <c r="F35" s="96" t="s">
        <v>74</v>
      </c>
      <c r="G35" s="40">
        <f>SUMIF(I3:I25,"=1",F3:F25)</f>
        <v>23.5</v>
      </c>
      <c r="H35" s="97">
        <v>140</v>
      </c>
      <c r="I35" s="21">
        <f>G35*H35*9</f>
        <v>29610</v>
      </c>
      <c r="J35" s="98">
        <f>H35*0.9</f>
        <v>126</v>
      </c>
      <c r="K35" s="98">
        <f>I35*0.9</f>
        <v>26649</v>
      </c>
      <c r="M35" s="22" t="s">
        <v>74</v>
      </c>
      <c r="N35" s="23">
        <v>10</v>
      </c>
      <c r="O35" s="23">
        <v>5</v>
      </c>
      <c r="P35" s="23">
        <v>5</v>
      </c>
      <c r="Q35" s="23">
        <f t="shared" ref="Q35:Q40" si="2">SUM(N35:P35)</f>
        <v>20</v>
      </c>
    </row>
    <row r="36" spans="5:17" ht="14.45" customHeight="1">
      <c r="E36" s="26">
        <f>G36*9</f>
        <v>54</v>
      </c>
      <c r="F36" s="96" t="s">
        <v>50</v>
      </c>
      <c r="G36" s="40">
        <f>SUM(G3:G25)</f>
        <v>6</v>
      </c>
      <c r="H36" s="97">
        <v>120</v>
      </c>
      <c r="I36" s="21">
        <f t="shared" ref="I36:I40" si="3">G36*H36*9</f>
        <v>6480</v>
      </c>
      <c r="J36" s="98">
        <f t="shared" ref="J36:J40" si="4">H36*0.9</f>
        <v>108</v>
      </c>
      <c r="K36" s="98">
        <f t="shared" ref="K36:K40" si="5">I36*0.9</f>
        <v>5832</v>
      </c>
      <c r="M36" s="22" t="s">
        <v>146</v>
      </c>
      <c r="N36" s="23">
        <v>3.3</v>
      </c>
      <c r="O36" s="23">
        <v>0</v>
      </c>
      <c r="P36" s="23">
        <v>2</v>
      </c>
      <c r="Q36" s="23">
        <f t="shared" si="2"/>
        <v>5.3</v>
      </c>
    </row>
    <row r="37" spans="5:17" ht="14.45" customHeight="1">
      <c r="E37" s="26">
        <f t="shared" ref="E37:E40" si="6">G37*9</f>
        <v>81</v>
      </c>
      <c r="F37" s="96" t="s">
        <v>51</v>
      </c>
      <c r="G37" s="40">
        <f>SUM(H3:H25)</f>
        <v>9</v>
      </c>
      <c r="H37" s="97">
        <v>115</v>
      </c>
      <c r="I37" s="21">
        <f t="shared" si="3"/>
        <v>9315</v>
      </c>
      <c r="J37" s="98">
        <f t="shared" si="4"/>
        <v>103.5</v>
      </c>
      <c r="K37" s="98">
        <f t="shared" si="5"/>
        <v>8383.5</v>
      </c>
      <c r="M37" s="20" t="s">
        <v>51</v>
      </c>
      <c r="N37" s="23">
        <v>0</v>
      </c>
      <c r="O37" s="23">
        <v>4</v>
      </c>
      <c r="P37" s="23">
        <v>7</v>
      </c>
      <c r="Q37" s="23">
        <f t="shared" si="2"/>
        <v>11</v>
      </c>
    </row>
    <row r="38" spans="5:17" ht="14.45" customHeight="1">
      <c r="E38" s="26">
        <f t="shared" si="6"/>
        <v>54</v>
      </c>
      <c r="F38" s="96" t="s">
        <v>147</v>
      </c>
      <c r="G38" s="69">
        <v>6</v>
      </c>
      <c r="H38" s="97">
        <v>115</v>
      </c>
      <c r="I38" s="21">
        <f t="shared" si="3"/>
        <v>6210</v>
      </c>
      <c r="J38" s="98">
        <f t="shared" si="4"/>
        <v>103.5</v>
      </c>
      <c r="K38" s="98">
        <f t="shared" si="5"/>
        <v>5589</v>
      </c>
      <c r="M38" s="22" t="s">
        <v>147</v>
      </c>
      <c r="N38" s="23">
        <v>2</v>
      </c>
      <c r="O38" s="23">
        <v>1</v>
      </c>
      <c r="P38" s="23">
        <v>2</v>
      </c>
      <c r="Q38" s="23">
        <f t="shared" si="2"/>
        <v>5</v>
      </c>
    </row>
    <row r="39" spans="5:17" ht="14.45" customHeight="1">
      <c r="E39" s="26">
        <f t="shared" si="6"/>
        <v>27</v>
      </c>
      <c r="F39" s="96" t="s">
        <v>148</v>
      </c>
      <c r="G39" s="40">
        <v>3</v>
      </c>
      <c r="H39" s="97">
        <v>110</v>
      </c>
      <c r="I39" s="21">
        <f t="shared" si="3"/>
        <v>2970</v>
      </c>
      <c r="J39" s="98">
        <f t="shared" si="4"/>
        <v>99</v>
      </c>
      <c r="K39" s="98">
        <f t="shared" si="5"/>
        <v>2673</v>
      </c>
      <c r="M39" s="22" t="s">
        <v>148</v>
      </c>
      <c r="N39" s="23">
        <v>1</v>
      </c>
      <c r="O39" s="23">
        <v>1</v>
      </c>
      <c r="P39" s="23">
        <v>1</v>
      </c>
      <c r="Q39" s="23">
        <f t="shared" si="2"/>
        <v>3</v>
      </c>
    </row>
    <row r="40" spans="5:17" ht="14.45" customHeight="1">
      <c r="E40" s="26">
        <f t="shared" si="6"/>
        <v>4.5</v>
      </c>
      <c r="F40" s="96" t="s">
        <v>149</v>
      </c>
      <c r="G40" s="40">
        <v>0.5</v>
      </c>
      <c r="H40" s="97">
        <v>165</v>
      </c>
      <c r="I40" s="21">
        <f t="shared" si="3"/>
        <v>742.5</v>
      </c>
      <c r="J40" s="98">
        <f t="shared" si="4"/>
        <v>148.5</v>
      </c>
      <c r="K40" s="98">
        <f t="shared" si="5"/>
        <v>668.25</v>
      </c>
      <c r="M40" s="22" t="s">
        <v>149</v>
      </c>
      <c r="N40" s="23">
        <v>0.5</v>
      </c>
      <c r="O40" s="23">
        <v>0</v>
      </c>
      <c r="P40" s="23">
        <v>0</v>
      </c>
      <c r="Q40" s="23">
        <f t="shared" si="2"/>
        <v>0.5</v>
      </c>
    </row>
    <row r="41" spans="5:17" ht="14.45" customHeight="1">
      <c r="E41" s="18"/>
      <c r="F41" s="18"/>
      <c r="G41" s="26">
        <f>SUM(G35:G40)</f>
        <v>48</v>
      </c>
      <c r="H41" s="18"/>
      <c r="I41" s="24">
        <f>SUM(I35:I40)</f>
        <v>55327.5</v>
      </c>
      <c r="J41" s="72"/>
      <c r="M41" s="25"/>
      <c r="N41" s="18"/>
      <c r="O41" s="18"/>
      <c r="P41" s="18"/>
      <c r="Q41" s="26">
        <f>SUM(Q35:Q40)</f>
        <v>44.8</v>
      </c>
    </row>
    <row r="42" spans="5:17" ht="15"/>
  </sheetData>
  <mergeCells count="17">
    <mergeCell ref="B1:B2"/>
    <mergeCell ref="K1:K2"/>
    <mergeCell ref="B21:B22"/>
    <mergeCell ref="A9:A22"/>
    <mergeCell ref="F34:I34"/>
    <mergeCell ref="F1:H1"/>
    <mergeCell ref="C1:C2"/>
    <mergeCell ref="D1:D2"/>
    <mergeCell ref="E1:E2"/>
    <mergeCell ref="I1:I2"/>
    <mergeCell ref="J1:J2"/>
    <mergeCell ref="A26:E26"/>
    <mergeCell ref="B12:B16"/>
    <mergeCell ref="B5:B7"/>
    <mergeCell ref="A3:A8"/>
    <mergeCell ref="A23:A24"/>
    <mergeCell ref="A1:A2"/>
  </mergeCells>
  <conditionalFormatting sqref="I41">
    <cfRule type="notContainsBlanks" dxfId="1" priority="2">
      <formula>LEN(TRIM(I41))&gt;0</formula>
    </cfRule>
  </conditionalFormatting>
  <conditionalFormatting sqref="K26">
    <cfRule type="notContainsBlanks" dxfId="0" priority="1">
      <formula>LEN(TRIM(K26))&gt;0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3"/>
  <sheetViews>
    <sheetView topLeftCell="A11" workbookViewId="0">
      <selection sqref="A1:B4"/>
    </sheetView>
  </sheetViews>
  <sheetFormatPr defaultColWidth="8.85546875" defaultRowHeight="14.45"/>
  <cols>
    <col min="1" max="1" width="40" customWidth="1"/>
    <col min="2" max="2" width="111.7109375" customWidth="1"/>
  </cols>
  <sheetData>
    <row r="1" spans="1:2" ht="15.6">
      <c r="A1" s="34" t="s">
        <v>150</v>
      </c>
      <c r="B1" s="34" t="s">
        <v>43</v>
      </c>
    </row>
    <row r="2" spans="1:2">
      <c r="A2" s="35" t="s">
        <v>151</v>
      </c>
      <c r="B2" s="36" t="s">
        <v>152</v>
      </c>
    </row>
    <row r="3" spans="1:2" ht="29.1">
      <c r="A3" s="37" t="s">
        <v>153</v>
      </c>
      <c r="B3" s="38" t="s">
        <v>154</v>
      </c>
    </row>
    <row r="4" spans="1:2" ht="29.1">
      <c r="A4" s="37" t="s">
        <v>155</v>
      </c>
      <c r="B4" s="38" t="s">
        <v>156</v>
      </c>
    </row>
    <row r="5" spans="1:2">
      <c r="A5" s="35" t="s">
        <v>157</v>
      </c>
      <c r="B5" s="36" t="s">
        <v>158</v>
      </c>
    </row>
    <row r="6" spans="1:2">
      <c r="A6" s="35" t="s">
        <v>159</v>
      </c>
      <c r="B6" s="36" t="s">
        <v>160</v>
      </c>
    </row>
    <row r="7" spans="1:2">
      <c r="A7" s="37" t="s">
        <v>161</v>
      </c>
      <c r="B7" s="38" t="s">
        <v>162</v>
      </c>
    </row>
    <row r="8" spans="1:2">
      <c r="A8" s="35" t="s">
        <v>163</v>
      </c>
      <c r="B8" s="36" t="s">
        <v>164</v>
      </c>
    </row>
    <row r="9" spans="1:2">
      <c r="A9" s="35" t="s">
        <v>165</v>
      </c>
      <c r="B9" s="36" t="s">
        <v>166</v>
      </c>
    </row>
    <row r="10" spans="1:2">
      <c r="A10" s="37" t="s">
        <v>167</v>
      </c>
      <c r="B10" s="38" t="s">
        <v>168</v>
      </c>
    </row>
    <row r="11" spans="1:2">
      <c r="A11" s="35" t="s">
        <v>169</v>
      </c>
      <c r="B11" s="36" t="s">
        <v>170</v>
      </c>
    </row>
    <row r="12" spans="1:2">
      <c r="A12" s="37" t="s">
        <v>171</v>
      </c>
      <c r="B12" s="38" t="s">
        <v>172</v>
      </c>
    </row>
    <row r="13" spans="1:2">
      <c r="A13" s="35" t="s">
        <v>173</v>
      </c>
      <c r="B13" s="36" t="s">
        <v>174</v>
      </c>
    </row>
    <row r="14" spans="1:2">
      <c r="A14" s="35"/>
      <c r="B14" s="50" t="s">
        <v>175</v>
      </c>
    </row>
    <row r="15" spans="1:2">
      <c r="A15" s="35" t="s">
        <v>176</v>
      </c>
      <c r="B15" s="36" t="s">
        <v>177</v>
      </c>
    </row>
    <row r="16" spans="1:2" ht="29.1">
      <c r="A16" s="37" t="s">
        <v>178</v>
      </c>
      <c r="B16" s="38" t="s">
        <v>179</v>
      </c>
    </row>
    <row r="17" spans="1:2">
      <c r="A17" s="35" t="s">
        <v>180</v>
      </c>
      <c r="B17" s="36" t="s">
        <v>181</v>
      </c>
    </row>
    <row r="18" spans="1:2">
      <c r="A18" s="91" t="s">
        <v>182</v>
      </c>
      <c r="B18" s="38" t="s">
        <v>183</v>
      </c>
    </row>
    <row r="19" spans="1:2">
      <c r="A19" s="91"/>
      <c r="B19" s="38" t="s">
        <v>184</v>
      </c>
    </row>
    <row r="20" spans="1:2">
      <c r="A20" s="91"/>
      <c r="B20" s="38" t="s">
        <v>185</v>
      </c>
    </row>
    <row r="21" spans="1:2" ht="29.1">
      <c r="A21" s="91"/>
      <c r="B21" s="38" t="s">
        <v>186</v>
      </c>
    </row>
    <row r="22" spans="1:2" ht="29.1">
      <c r="A22" s="91"/>
      <c r="B22" s="38" t="s">
        <v>187</v>
      </c>
    </row>
    <row r="23" spans="1:2">
      <c r="A23" s="91"/>
      <c r="B23" s="38" t="s">
        <v>188</v>
      </c>
    </row>
    <row r="24" spans="1:2">
      <c r="A24" s="91"/>
      <c r="B24" s="38" t="s">
        <v>189</v>
      </c>
    </row>
    <row r="25" spans="1:2" ht="29.1">
      <c r="A25" s="91"/>
      <c r="B25" s="38" t="s">
        <v>190</v>
      </c>
    </row>
    <row r="26" spans="1:2">
      <c r="A26" s="91"/>
      <c r="B26" s="38" t="s">
        <v>191</v>
      </c>
    </row>
    <row r="27" spans="1:2">
      <c r="A27" s="91"/>
      <c r="B27" s="38" t="s">
        <v>192</v>
      </c>
    </row>
    <row r="28" spans="1:2" ht="29.1">
      <c r="A28" s="91"/>
      <c r="B28" s="38" t="s">
        <v>193</v>
      </c>
    </row>
    <row r="29" spans="1:2" ht="29.1">
      <c r="A29" s="91"/>
      <c r="B29" s="38" t="s">
        <v>194</v>
      </c>
    </row>
    <row r="30" spans="1:2">
      <c r="A30" s="91"/>
      <c r="B30" s="38" t="s">
        <v>195</v>
      </c>
    </row>
    <row r="31" spans="1:2">
      <c r="A31" s="91"/>
      <c r="B31" s="38" t="s">
        <v>196</v>
      </c>
    </row>
    <row r="32" spans="1:2" ht="29.1">
      <c r="A32" s="91"/>
      <c r="B32" s="38" t="s">
        <v>197</v>
      </c>
    </row>
    <row r="33" spans="1:2">
      <c r="A33" s="91"/>
      <c r="B33" s="38" t="s">
        <v>198</v>
      </c>
    </row>
    <row r="34" spans="1:2" ht="29.1">
      <c r="A34" s="91"/>
      <c r="B34" s="38" t="s">
        <v>199</v>
      </c>
    </row>
    <row r="35" spans="1:2">
      <c r="A35" s="92" t="s">
        <v>200</v>
      </c>
      <c r="B35" s="36" t="s">
        <v>201</v>
      </c>
    </row>
    <row r="36" spans="1:2">
      <c r="A36" s="92"/>
      <c r="B36" s="36" t="s">
        <v>202</v>
      </c>
    </row>
    <row r="37" spans="1:2" ht="29.1">
      <c r="A37" s="92"/>
      <c r="B37" s="36" t="s">
        <v>203</v>
      </c>
    </row>
    <row r="38" spans="1:2" ht="29.1">
      <c r="A38" s="92"/>
      <c r="B38" s="36" t="s">
        <v>204</v>
      </c>
    </row>
    <row r="39" spans="1:2">
      <c r="A39" s="92"/>
      <c r="B39" s="36" t="s">
        <v>205</v>
      </c>
    </row>
    <row r="40" spans="1:2">
      <c r="A40" s="92"/>
      <c r="B40" s="36" t="s">
        <v>206</v>
      </c>
    </row>
    <row r="41" spans="1:2">
      <c r="A41" s="92"/>
      <c r="B41" s="36" t="s">
        <v>207</v>
      </c>
    </row>
    <row r="42" spans="1:2">
      <c r="A42" s="92"/>
      <c r="B42" s="36" t="s">
        <v>208</v>
      </c>
    </row>
    <row r="43" spans="1:2" ht="29.1">
      <c r="A43" s="92"/>
      <c r="B43" s="36" t="s">
        <v>209</v>
      </c>
    </row>
    <row r="44" spans="1:2">
      <c r="A44" s="92"/>
      <c r="B44" s="36" t="s">
        <v>210</v>
      </c>
    </row>
    <row r="45" spans="1:2">
      <c r="B45" s="49"/>
    </row>
    <row r="46" spans="1:2">
      <c r="B46" s="49"/>
    </row>
    <row r="47" spans="1:2">
      <c r="B47" s="49"/>
    </row>
    <row r="50" spans="2:2">
      <c r="B50" s="49"/>
    </row>
    <row r="51" spans="2:2">
      <c r="B51" s="49"/>
    </row>
    <row r="52" spans="2:2">
      <c r="B52" s="49"/>
    </row>
    <row r="53" spans="2:2">
      <c r="B53" s="49"/>
    </row>
  </sheetData>
  <mergeCells count="2">
    <mergeCell ref="A18:A34"/>
    <mergeCell ref="A35:A4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57B6-A7AE-4088-B08B-4E7786ABC095}">
  <dimension ref="A1:C7"/>
  <sheetViews>
    <sheetView workbookViewId="0">
      <selection activeCell="C7" sqref="C7"/>
    </sheetView>
  </sheetViews>
  <sheetFormatPr defaultColWidth="8.85546875" defaultRowHeight="15" customHeight="1"/>
  <cols>
    <col min="1" max="1" width="32.85546875" customWidth="1"/>
    <col min="2" max="2" width="15.85546875" customWidth="1"/>
    <col min="3" max="3" width="46.42578125" customWidth="1"/>
  </cols>
  <sheetData>
    <row r="1" spans="1:3" ht="14.45">
      <c r="A1" s="16" t="s">
        <v>211</v>
      </c>
      <c r="B1" s="16" t="s">
        <v>212</v>
      </c>
      <c r="C1" s="16" t="s">
        <v>213</v>
      </c>
    </row>
    <row r="2" spans="1:3" ht="14.45">
      <c r="A2" s="64" t="s">
        <v>214</v>
      </c>
      <c r="B2" s="39" t="s">
        <v>215</v>
      </c>
      <c r="C2" s="39" t="s">
        <v>216</v>
      </c>
    </row>
    <row r="3" spans="1:3" ht="14.45">
      <c r="A3" s="65" t="s">
        <v>217</v>
      </c>
      <c r="B3" s="65" t="s">
        <v>215</v>
      </c>
      <c r="C3" s="65" t="s">
        <v>218</v>
      </c>
    </row>
    <row r="4" spans="1:3" ht="14.45">
      <c r="A4" s="39" t="s">
        <v>219</v>
      </c>
      <c r="B4" s="39" t="s">
        <v>215</v>
      </c>
      <c r="C4" s="39" t="s">
        <v>220</v>
      </c>
    </row>
    <row r="5" spans="1:3" ht="14.45">
      <c r="A5" s="39" t="s">
        <v>221</v>
      </c>
      <c r="B5" s="39" t="s">
        <v>215</v>
      </c>
      <c r="C5" s="39" t="s">
        <v>222</v>
      </c>
    </row>
    <row r="6" spans="1:3" ht="15" customHeight="1">
      <c r="A6" s="66" t="s">
        <v>223</v>
      </c>
      <c r="B6" s="66" t="s">
        <v>215</v>
      </c>
      <c r="C6" s="66" t="s">
        <v>224</v>
      </c>
    </row>
    <row r="7" spans="1:3" ht="15" customHeight="1">
      <c r="A7" s="39" t="s">
        <v>225</v>
      </c>
      <c r="B7" s="39" t="s">
        <v>215</v>
      </c>
      <c r="C7" s="66" t="s">
        <v>226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B94EB-9522-4F3F-80DA-104FDD7ECE86}">
  <dimension ref="A1"/>
  <sheetViews>
    <sheetView topLeftCell="B6" workbookViewId="0">
      <selection activeCell="F34" sqref="F34"/>
    </sheetView>
  </sheetViews>
  <sheetFormatPr defaultColWidth="8.85546875" defaultRowHeight="14.4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91E26-65EA-4B78-8AB5-50C436468785}">
  <dimension ref="A1"/>
  <sheetViews>
    <sheetView workbookViewId="0">
      <selection activeCell="N37" sqref="N37"/>
    </sheetView>
  </sheetViews>
  <sheetFormatPr defaultColWidth="8.85546875" defaultRowHeight="14.4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8C82A-FB3C-41DC-AAE4-F562AEFE36EF}">
  <dimension ref="A1:E17"/>
  <sheetViews>
    <sheetView workbookViewId="0">
      <selection activeCell="C3" sqref="C3"/>
    </sheetView>
  </sheetViews>
  <sheetFormatPr defaultColWidth="8.85546875" defaultRowHeight="14.45"/>
  <cols>
    <col min="1" max="1" width="34.140625" customWidth="1"/>
    <col min="2" max="2" width="19.85546875" customWidth="1"/>
    <col min="3" max="3" width="21" bestFit="1" customWidth="1"/>
    <col min="5" max="5" width="41.140625" style="45" customWidth="1"/>
  </cols>
  <sheetData>
    <row r="1" spans="1:5">
      <c r="A1" s="43" t="s">
        <v>227</v>
      </c>
    </row>
    <row r="3" spans="1:5">
      <c r="A3" s="67" t="s">
        <v>228</v>
      </c>
      <c r="B3" s="67" t="s">
        <v>229</v>
      </c>
    </row>
    <row r="4" spans="1:5">
      <c r="A4" s="44" t="s">
        <v>230</v>
      </c>
      <c r="B4" s="44"/>
      <c r="C4" s="44"/>
      <c r="D4" s="44"/>
      <c r="E4" s="46"/>
    </row>
    <row r="5" spans="1:5">
      <c r="A5" s="44" t="s">
        <v>231</v>
      </c>
      <c r="B5" s="44" t="s">
        <v>232</v>
      </c>
      <c r="C5" s="44" t="s">
        <v>233</v>
      </c>
      <c r="D5" s="44" t="s">
        <v>234</v>
      </c>
      <c r="E5" s="46"/>
    </row>
    <row r="6" spans="1:5">
      <c r="A6" s="44">
        <v>0</v>
      </c>
      <c r="B6" s="44">
        <v>1302.27</v>
      </c>
      <c r="C6" s="44">
        <v>15627.24</v>
      </c>
      <c r="D6" s="44" t="s">
        <v>235</v>
      </c>
      <c r="E6" s="46"/>
    </row>
    <row r="7" spans="1:5">
      <c r="A7" s="44"/>
      <c r="B7" s="44"/>
      <c r="C7" s="44" t="s">
        <v>236</v>
      </c>
      <c r="D7" s="44"/>
      <c r="E7" s="46"/>
    </row>
    <row r="10" spans="1:5">
      <c r="A10" s="47" t="s">
        <v>237</v>
      </c>
      <c r="B10" s="47" t="s">
        <v>238</v>
      </c>
      <c r="C10" s="47" t="s">
        <v>239</v>
      </c>
      <c r="D10" s="47" t="s">
        <v>234</v>
      </c>
      <c r="E10" s="48" t="s">
        <v>240</v>
      </c>
    </row>
    <row r="11" spans="1:5">
      <c r="A11" s="46" t="s">
        <v>241</v>
      </c>
      <c r="B11" s="44">
        <v>23.55</v>
      </c>
      <c r="C11" s="44">
        <v>282.60000000000002</v>
      </c>
      <c r="D11" s="44" t="s">
        <v>235</v>
      </c>
      <c r="E11" s="46" t="s">
        <v>242</v>
      </c>
    </row>
    <row r="12" spans="1:5" ht="29.1">
      <c r="A12" s="46" t="s">
        <v>243</v>
      </c>
      <c r="B12" s="44">
        <v>0</v>
      </c>
      <c r="C12" s="44">
        <v>0</v>
      </c>
      <c r="D12" s="44" t="s">
        <v>235</v>
      </c>
      <c r="E12" s="46" t="s">
        <v>244</v>
      </c>
    </row>
    <row r="13" spans="1:5">
      <c r="A13" s="46" t="s">
        <v>245</v>
      </c>
      <c r="B13" s="44">
        <v>7.3</v>
      </c>
      <c r="C13" s="44">
        <v>87.6</v>
      </c>
      <c r="D13" s="44" t="s">
        <v>235</v>
      </c>
      <c r="E13" s="46" t="s">
        <v>246</v>
      </c>
    </row>
    <row r="14" spans="1:5" ht="43.5">
      <c r="A14" s="46" t="s">
        <v>247</v>
      </c>
      <c r="B14" s="44">
        <v>74.7</v>
      </c>
      <c r="C14" s="44">
        <v>896.4</v>
      </c>
      <c r="D14" s="44" t="s">
        <v>235</v>
      </c>
      <c r="E14" s="46" t="s">
        <v>248</v>
      </c>
    </row>
    <row r="15" spans="1:5" ht="29.1">
      <c r="A15" s="46" t="s">
        <v>249</v>
      </c>
      <c r="B15" s="44">
        <v>29.4</v>
      </c>
      <c r="C15" s="44">
        <v>352.8</v>
      </c>
      <c r="D15" s="44" t="s">
        <v>235</v>
      </c>
      <c r="E15" s="46" t="s">
        <v>250</v>
      </c>
    </row>
    <row r="16" spans="1:5" ht="72.599999999999994">
      <c r="A16" s="46" t="s">
        <v>251</v>
      </c>
      <c r="B16" s="44">
        <v>692.12</v>
      </c>
      <c r="C16" s="44">
        <v>8305.44</v>
      </c>
      <c r="D16" s="44" t="s">
        <v>235</v>
      </c>
      <c r="E16" s="46" t="s">
        <v>252</v>
      </c>
    </row>
    <row r="17" spans="1:5" ht="304.5">
      <c r="A17" s="46" t="s">
        <v>253</v>
      </c>
      <c r="B17" s="44">
        <v>475.2</v>
      </c>
      <c r="C17" s="44">
        <v>5702.4</v>
      </c>
      <c r="D17" s="44" t="s">
        <v>235</v>
      </c>
      <c r="E17" s="46" t="s">
        <v>254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89695814397C42A6396A2355C665D6" ma:contentTypeVersion="3" ma:contentTypeDescription="Create a new document." ma:contentTypeScope="" ma:versionID="21b37fe4f5f4a64045ba77f47a349959">
  <xsd:schema xmlns:xsd="http://www.w3.org/2001/XMLSchema" xmlns:xs="http://www.w3.org/2001/XMLSchema" xmlns:p="http://schemas.microsoft.com/office/2006/metadata/properties" xmlns:ns2="31859e41-20b6-4290-bd2b-863bd5feb794" targetNamespace="http://schemas.microsoft.com/office/2006/metadata/properties" ma:root="true" ma:fieldsID="4ff1a5770f7ab79f3f4cf31c0961c0f5" ns2:_="">
    <xsd:import namespace="31859e41-20b6-4290-bd2b-863bd5feb79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859e41-20b6-4290-bd2b-863bd5feb7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3C779C-BEBB-4BD9-A83B-EFFFD16366B1}"/>
</file>

<file path=customXml/itemProps2.xml><?xml version="1.0" encoding="utf-8"?>
<ds:datastoreItem xmlns:ds="http://schemas.openxmlformats.org/officeDocument/2006/customXml" ds:itemID="{B9ADB227-015D-4CED-8065-3563D35864CA}"/>
</file>

<file path=customXml/itemProps3.xml><?xml version="1.0" encoding="utf-8"?>
<ds:datastoreItem xmlns:ds="http://schemas.openxmlformats.org/officeDocument/2006/customXml" ds:itemID="{A5034D08-654E-40E7-8989-2B1A67E1E5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Niv Spector</cp:lastModifiedBy>
  <cp:revision/>
  <dcterms:created xsi:type="dcterms:W3CDTF">2026-01-25T15:46:48Z</dcterms:created>
  <dcterms:modified xsi:type="dcterms:W3CDTF">2026-03-08T13:59:46Z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0x0101008D89695814397C42A6396A2355C665D6</vt:lpwstr>
  </property>
</Properties>
</file>