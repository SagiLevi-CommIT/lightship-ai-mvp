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C:\Users\ramm\Downloads\"/>
    </mc:Choice>
  </mc:AlternateContent>
  <xr:revisionPtr revIDLastSave="202" documentId="13_ncr:1_{E7E5521B-8A43-43AE-B8A4-F3F4F8414103}" xr6:coauthVersionLast="47" xr6:coauthVersionMax="47" xr10:uidLastSave="{66D2F3FD-6A25-4574-B600-714AC63DB30A}"/>
  <bookViews>
    <workbookView xWindow="-28920" yWindow="-120" windowWidth="29040" windowHeight="15720" firstSheet="1" activeTab="1" xr2:uid="{00000000-000D-0000-FFFF-FFFF00000000}"/>
  </bookViews>
  <sheets>
    <sheet name="Description" sheetId="5" r:id="rId1"/>
    <sheet name="PoC Scope" sheetId="1" r:id="rId2"/>
    <sheet name="Calculator" sheetId="6" r:id="rId3"/>
    <sheet name="Non-functional requirements" sheetId="2" r:id="rId4"/>
    <sheet name="Assumptions" sheetId="3" r:id="rId5"/>
    <sheet name="Success criteria" sheetId="7" r:id="rId6"/>
    <sheet name="Architecture" sheetId="4" r:id="rId7"/>
    <sheet name="Lightship Delivery Tracker"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3" i="1" l="1"/>
  <c r="L24" i="1"/>
  <c r="L25" i="1"/>
  <c r="L26" i="1"/>
  <c r="L27" i="1"/>
  <c r="L28" i="1"/>
  <c r="L29" i="1"/>
  <c r="L30" i="1"/>
  <c r="L22" i="1"/>
  <c r="E11" i="1"/>
  <c r="G11" i="1"/>
  <c r="H11" i="1"/>
  <c r="I3" i="1"/>
  <c r="F11" i="1"/>
  <c r="I9" i="1"/>
  <c r="X20" i="1"/>
  <c r="B26" i="6"/>
  <c r="B3" i="6"/>
  <c r="P20" i="1" l="1"/>
  <c r="X21" i="1"/>
  <c r="O22" i="1"/>
  <c r="I6" i="1"/>
  <c r="I7" i="1"/>
  <c r="I8" i="1"/>
  <c r="I4" i="1"/>
  <c r="I5" i="1"/>
  <c r="I11" i="1" l="1"/>
  <c r="X22" i="1"/>
  <c r="X23" i="1"/>
  <c r="X24" i="1"/>
  <c r="X25" i="1"/>
  <c r="X26" i="1"/>
  <c r="X27" i="1"/>
  <c r="X28" i="1"/>
  <c r="X29" i="1"/>
  <c r="X30" i="1"/>
  <c r="P29" i="1"/>
  <c r="P23" i="1"/>
  <c r="P24" i="1"/>
  <c r="P27" i="1"/>
  <c r="N21" i="1"/>
  <c r="P21" i="1" l="1"/>
  <c r="X31" i="1"/>
  <c r="P25" i="1"/>
  <c r="P26" i="1"/>
  <c r="P30" i="1"/>
  <c r="N31" i="1" l="1"/>
  <c r="P28" i="1"/>
  <c r="P22" i="1"/>
  <c r="P31" i="1"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<sst xmlns="http://schemas.openxmlformats.org/spreadsheetml/2006/main" count="227" uniqueCount="181">
  <si>
    <t>What will happen in the project</t>
  </si>
  <si>
    <t>We will build a non-throwaway POC that processes raw dash-camera videos, identifies key objects and hazards in each scene, and automatically generates the relevant fields required for the Detection training template’s configuration file (CSV).</t>
  </si>
  <si>
    <t>The engine will use the Customer’s provided videos inside a closed environment and apply rule sets that reflect how domain experts classify scenarios today.</t>
  </si>
  <si>
    <t>The POC will focus on extracting pre-identified list of hazard types that the customer will be sharing.</t>
  </si>
  <si>
    <t>What will the customer get</t>
  </si>
  <si>
    <t xml:space="preserve">A model that can </t>
  </si>
  <si>
    <t>* identify a list of mentioned objects and hazards in a video, if they are present.</t>
  </si>
  <si>
    <t>* Auto-generates a configuration file (CSV/JSON) with the fields needed to create Detection training modules</t>
  </si>
  <si>
    <t>The insight engine will run on a closed environment and will not be connected to the Customer's Dev/Production system</t>
  </si>
  <si>
    <t>In POC we will focus on one pre-selected list of hazard and objects only.</t>
  </si>
  <si>
    <t>What does the customer needs to do</t>
  </si>
  <si>
    <t>Provide representative dash-camera videos covering the typical scenarios used for driver safety training</t>
  </si>
  <si>
    <t>Share sample configuration files currently used for the Detection training template.</t>
  </si>
  <si>
    <t>Appoint a human reviewer to validate AI-generated configuration files and provide iterative feedback.</t>
  </si>
  <si>
    <t>What is the input</t>
  </si>
  <si>
    <t>Dashcam videos</t>
  </si>
  <si>
    <t>What is the output</t>
  </si>
  <si>
    <t>A configuration file that contains (CSV file)</t>
  </si>
  <si>
    <t>metadata about the video</t>
  </si>
  <si>
    <r>
      <t>template type</t>
    </r>
    <r>
      <rPr>
        <sz val="10"/>
        <color rgb="FF000000"/>
        <rFont val="Arial"/>
      </rPr>
      <t xml:space="preserve"> (e.g., Detection)</t>
    </r>
  </si>
  <si>
    <r>
      <t>various objects and object placement</t>
    </r>
    <r>
      <rPr>
        <sz val="10"/>
        <color rgb="FF000000"/>
        <rFont val="Arial"/>
      </rPr>
      <t xml:space="preserve"> (where hazards appear)</t>
    </r>
  </si>
  <si>
    <t xml:space="preserve">What is important (non functional, limitations and out of scope) </t>
  </si>
  <si>
    <t xml:space="preserve"> Language</t>
  </si>
  <si>
    <t>English only</t>
  </si>
  <si>
    <t xml:space="preserve"> No File Uploads</t>
  </si>
  <si>
    <t>All analysis is done on structured input or loaded sample</t>
  </si>
  <si>
    <t>Chatbot UX</t>
  </si>
  <si>
    <t>NA</t>
  </si>
  <si>
    <t>Data Source</t>
  </si>
  <si>
    <t>Videos and files shared</t>
  </si>
  <si>
    <t>Accuracy</t>
  </si>
  <si>
    <t>Avoid hallucinations, stay grounded in the actual offer data</t>
  </si>
  <si>
    <t>Privacy</t>
  </si>
  <si>
    <t>No PII in training or output</t>
  </si>
  <si>
    <t>Response Types</t>
  </si>
  <si>
    <t>CSV file</t>
  </si>
  <si>
    <t>Explainability</t>
  </si>
  <si>
    <t>User Group</t>
  </si>
  <si>
    <t>Epic</t>
  </si>
  <si>
    <t>Feature/Screen</t>
  </si>
  <si>
    <t>Description</t>
  </si>
  <si>
    <t>Days</t>
  </si>
  <si>
    <t>Cost</t>
  </si>
  <si>
    <t>Phase</t>
  </si>
  <si>
    <t>Tech Assumptions</t>
  </si>
  <si>
    <t>Dependencies</t>
  </si>
  <si>
    <t>AI</t>
  </si>
  <si>
    <t>DevOps</t>
  </si>
  <si>
    <t>BE</t>
  </si>
  <si>
    <t>FE</t>
  </si>
  <si>
    <t>Setup</t>
  </si>
  <si>
    <t>Setup of the environment and other infrastructural items that will be used in the POC</t>
  </si>
  <si>
    <t>Data Handling</t>
  </si>
  <si>
    <t>Perform a set of manual actions meant to enable and improve the process of video frame tagging - ingest a playbook with explanations how to tag a frame into a vector database, as well as save a predetermined closed set of tags that will be used to tag each tagged video frame</t>
  </si>
  <si>
    <t>Predefined scoring logic; no adaptive question routing.</t>
  </si>
  <si>
    <t>Preprocess Logic Creation</t>
  </si>
  <si>
    <t xml:space="preserve">Create the logic that will handle the various logical elements of frame handling - breaking video to frames, scene change detection and tagging. </t>
  </si>
  <si>
    <t>Describe Frame Flow Creation</t>
  </si>
  <si>
    <t>Create the flow that will get a video frame as input and produce a description of the scene depicted in that given frame as an output. This description will be used in later stages to determine the appropriate tags for the video frame</t>
  </si>
  <si>
    <t>Infer Content Tags Flow Creation</t>
  </si>
  <si>
    <t>Create the flow that will infer what are the most appropriate tags for a given frame, from a given closed tags set. This tagging will be used in later stages to split the video into a set of smaller videos</t>
  </si>
  <si>
    <t>Bounding Boxes Flow Creation</t>
  </si>
  <si>
    <t>Create the flow that will offer a breakdown of the origin video into a set of smaller videos based on the tags given to each tagged frame. This plan will used in later stages to break down the video into smaller videos</t>
  </si>
  <si>
    <t>MVP/Production Implementation Plan Creation</t>
  </si>
  <si>
    <t>Create the implementation plan for MVP/production stage, including sub-steps and task breakdown</t>
  </si>
  <si>
    <t xml:space="preserve"> </t>
  </si>
  <si>
    <t>Timeline - Sprint 2 week (10 day)</t>
  </si>
  <si>
    <t>Phase 1 estimation</t>
  </si>
  <si>
    <t>Resource</t>
  </si>
  <si>
    <t>S0</t>
  </si>
  <si>
    <t>S1</t>
  </si>
  <si>
    <t>S2</t>
  </si>
  <si>
    <t>S3</t>
  </si>
  <si>
    <t>S4</t>
  </si>
  <si>
    <t>Devops</t>
  </si>
  <si>
    <t>UI/UX</t>
  </si>
  <si>
    <t>Product</t>
  </si>
  <si>
    <t>Project</t>
  </si>
  <si>
    <t>QA</t>
  </si>
  <si>
    <t>AI Architect</t>
  </si>
  <si>
    <t>SW Architect</t>
  </si>
  <si>
    <t>TL</t>
  </si>
  <si>
    <t>POC</t>
  </si>
  <si>
    <t>Lightship Neuroscience SOW2 (AI POC) - AI</t>
  </si>
  <si>
    <r>
      <t>Instance total hours to date:</t>
    </r>
    <r>
      <rPr>
        <sz val="9"/>
        <color rgb="FF333333"/>
        <rFont val="Helvetica Neue"/>
        <charset val="1"/>
      </rPr>
      <t> 181.00</t>
    </r>
  </si>
  <si>
    <r>
      <t>Instance revenue to date:</t>
    </r>
    <r>
      <rPr>
        <sz val="9"/>
        <color rgb="FF333333"/>
        <rFont val="Helvetica Neue"/>
        <charset val="1"/>
      </rPr>
      <t> $24,095.00</t>
    </r>
  </si>
  <si>
    <t>Employee</t>
  </si>
  <si>
    <t>Role</t>
  </si>
  <si>
    <t>External Rate</t>
  </si>
  <si>
    <t>Actual External Rate</t>
  </si>
  <si>
    <t>Rate</t>
  </si>
  <si>
    <t>Actual Rate</t>
  </si>
  <si>
    <t>Reported Hours</t>
  </si>
  <si>
    <t>Actual Hours</t>
  </si>
  <si>
    <t>Total Revenue</t>
  </si>
  <si>
    <t>Total Revenue (ILS)</t>
  </si>
  <si>
    <t>Niv Spector</t>
  </si>
  <si>
    <t>Project Manager</t>
  </si>
  <si>
    <t>₪14,694.25</t>
  </si>
  <si>
    <t>Yitzchak Shamia</t>
  </si>
  <si>
    <t>Product Manager</t>
  </si>
  <si>
    <t>₪9,098.31</t>
  </si>
  <si>
    <t>Daniel Nahman</t>
  </si>
  <si>
    <t>₪27,885.75</t>
  </si>
  <si>
    <t>Ido Garbi</t>
  </si>
  <si>
    <t>Head of AI</t>
  </si>
  <si>
    <t>₪8,448.80</t>
  </si>
  <si>
    <t>Asaf Lavi</t>
  </si>
  <si>
    <t>₪12,646.00</t>
  </si>
  <si>
    <t>Stav Fuerstain</t>
  </si>
  <si>
    <t>₪2,514.69</t>
  </si>
  <si>
    <t>Adi Ben David</t>
  </si>
  <si>
    <t>₪15,479.52</t>
  </si>
  <si>
    <t>Monthly cost</t>
  </si>
  <si>
    <t>Total 12 months cost</t>
  </si>
  <si>
    <t>Currency</t>
  </si>
  <si>
    <t>USD</t>
  </si>
  <si>
    <t>* Includes upfront cost</t>
  </si>
  <si>
    <t>Upfront cost</t>
  </si>
  <si>
    <t>Monthly Cost</t>
  </si>
  <si>
    <t>Region</t>
  </si>
  <si>
    <t>Config Summary</t>
  </si>
  <si>
    <t>Non-Functional Requirements (RWE)</t>
  </si>
  <si>
    <t>Category</t>
  </si>
  <si>
    <t>Requirement</t>
  </si>
  <si>
    <t>Version</t>
  </si>
  <si>
    <t>Status</t>
  </si>
  <si>
    <t>Remarks</t>
  </si>
  <si>
    <t>Usability</t>
  </si>
  <si>
    <t>Mobile Devices support</t>
  </si>
  <si>
    <t xml:space="preserve">not relevant </t>
  </si>
  <si>
    <t>Operating System</t>
  </si>
  <si>
    <t>Browser support</t>
  </si>
  <si>
    <t>Screen resolution</t>
  </si>
  <si>
    <t>Languages</t>
  </si>
  <si>
    <t>English</t>
  </si>
  <si>
    <t>Localization</t>
  </si>
  <si>
    <t xml:space="preserve">Working load </t>
  </si>
  <si>
    <t>WL</t>
  </si>
  <si>
    <t>Compliances</t>
  </si>
  <si>
    <t>PCI-compliance</t>
  </si>
  <si>
    <t>GDPR-compliance</t>
  </si>
  <si>
    <t>Data retention</t>
  </si>
  <si>
    <t>Performance</t>
  </si>
  <si>
    <t>Load time</t>
  </si>
  <si>
    <t>Integrations</t>
  </si>
  <si>
    <t>Monitoring</t>
  </si>
  <si>
    <t>Auditing</t>
  </si>
  <si>
    <t>3rd party services</t>
  </si>
  <si>
    <t>Billing, Chat, CRM, ERP….</t>
  </si>
  <si>
    <t>Assumptions</t>
  </si>
  <si>
    <t>We cannot guarantee speed of inference (this is why we do a POC)</t>
  </si>
  <si>
    <t>Customer will provide a human in loop to assist in schema enrichment, question refinement and other similar efforts, and make said person available to the development team</t>
  </si>
  <si>
    <t>Components, services, and solution architecture  offered in the solution are based on experince in similar cases, and might change during the project. Functionality will remain the same</t>
  </si>
  <si>
    <t>Latency and other performance metrics are not in scope of this POC</t>
  </si>
  <si>
    <t>The solution will include one enviroment only, which will be provided by Customer</t>
  </si>
  <si>
    <t>Logs and other tracing functionality are not in scope of the POC and will be done in later stages</t>
  </si>
  <si>
    <t>Testing and QA, if done, will be done by the customer</t>
  </si>
  <si>
    <t>All data handling actions such as ingestion into a vector database and saving a closed set of tags will be done manually in POC stage</t>
  </si>
  <si>
    <t>All data handling actions in the POC stage will be done once, in the Data Handling phase of the POC</t>
  </si>
  <si>
    <t>The tags meant to describe a video will be a closed set of tags provided by the customer</t>
  </si>
  <si>
    <t>Original image size in the POC stage will be up to 10MB</t>
  </si>
  <si>
    <t xml:space="preserve">Customer will provide a golden dataset, in a format provided by Commit, that contains a set of the following items: JSON containing the following fields: 
Frameset data: {
Frame: URL to S3 bucket location that contains a frame from a video (URL)
Tags: List of the tags given to that frame by a human annotator (list of strings from a closed list)
}
</t>
  </si>
  <si>
    <t>Customer will provide a playbook explaining the business logic of how items are given a specific tag, in a format provided by Commit</t>
  </si>
  <si>
    <t xml:space="preserve">Data provided by the customer will be saved on a designated S3 bucket that can be accessed by the Commit team programmatically </t>
  </si>
  <si>
    <t>Metrics</t>
  </si>
  <si>
    <t>Typical Value</t>
  </si>
  <si>
    <t>How is it Measured</t>
  </si>
  <si>
    <t>Classification accuracy</t>
  </si>
  <si>
    <t>Classification Accuracy - how accurately is a frame classified (via tags) into a closed set of classes</t>
  </si>
  <si>
    <t>Over 70%</t>
  </si>
  <si>
    <t xml:space="preserve">For each item in the golden dataset (Golden Dataset Item), the solution will be used to generate an output (“Inferred Output”). 
For each Inferred Output item generated, Generated Tags for each frame (Extracted Values) will be compared to Tags in the corresponding Golden Dataset Item Frameset Data (Golden Values). 
The comparison will be done in the following way:
Each item in Golden Values will be searched for in Extracted Values. 
If a value is found in Extracted Values, and the value matches the corresponding value in Golden Values, the item will be defined as correctly extracted.
If the amount of correctly extracted items/total number of items is higher than the benchmark (70%), the POC will be defined as “successful”.
</t>
  </si>
  <si>
    <t>Project Plan</t>
  </si>
  <si>
    <t>Task</t>
  </si>
  <si>
    <t>Progress percentages</t>
  </si>
  <si>
    <t>Time estimation</t>
  </si>
  <si>
    <t>End date</t>
  </si>
  <si>
    <t>Notes</t>
  </si>
  <si>
    <t>Project Familiarization</t>
  </si>
  <si>
    <t>Project kickoff, review of codebase structure and main components.</t>
  </si>
  <si>
    <t>Bug fixes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</si>
</sst>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8" formatCode="&quot;$&quot;#,##0.00_);[Red]\(&quot;$&quot;#,##0.00\)"/>
    <numFmt numFmtId="164" formatCode="_(&quot;₪&quot;* #,##0.00_);_(&quot;₪&quot;* \(#,##0.00\);_(&quot;₪&quot;* &quot;-&quot;??_);_(@_)"/>
    <numFmt numFmtId="165" formatCode="&quot;$&quot;#,##0.00"/>
    <numFmt numFmtId="166" formatCode="[$$-409]#,##0.00"/>
    <numFmt numFmtId="167" formatCode="&quot;₪&quot;#,##0.00"/>
    <numFmt numFmtId="168" formatCode="_([$$-409]* #,##0.00_);_([$$-409]* \(#,##0.00\);_([$$-409]* &quot;-&quot;??_);_(@_)"/>
    <numFmt numFmtId="169" formatCode="0.0"/>
    <numFmt numFmtId="170" formatCode="_([$$-409]* #,##0_);_([$$-409]* \(#,##0\);_([$$-409]* &quot;-&quot;??_);_(@_)"/>
    <numFmt numFmtId="171" formatCode="[$-1010000]d/m/yyyy;@"/>
    <numFmt numFmtId="172" formatCode="yyyy\-mm\-dd;@"/>
  </numFmts>
  <fonts count="50">
    <font>
      <sz val="10"/>
      <color rgb="FF000000"/>
      <name val="Arial"/>
    </font>
    <font>
      <sz val="12"/>
      <color theme="1"/>
      <name val="Arial"/>
      <family val="2"/>
      <scheme val="minor"/>
    </font>
    <font>
      <b/>
      <sz val="11"/>
      <color rgb="FF000000"/>
      <name val="Calibri"/>
      <family val="2"/>
    </font>
    <font>
      <sz val="11"/>
      <color rgb="FF000000"/>
      <name val="Calibri"/>
      <family val="2"/>
    </font>
    <font>
      <sz val="10"/>
      <name val="Arial"/>
      <family val="2"/>
    </font>
    <font>
      <b/>
      <sz val="10"/>
      <color rgb="FF000000"/>
      <name val="Calibri"/>
      <family val="2"/>
    </font>
    <font>
      <b/>
      <sz val="12"/>
      <color rgb="FF000000"/>
      <name val="Calibri"/>
      <family val="2"/>
    </font>
    <font>
      <u/>
      <sz val="11"/>
      <color rgb="FF000000"/>
      <name val="Calibri"/>
      <family val="2"/>
    </font>
    <font>
      <sz val="14"/>
      <color rgb="FFFFFFFF"/>
      <name val="Calibri"/>
      <family val="2"/>
    </font>
    <font>
      <sz val="11"/>
      <name val="Calibri"/>
      <family val="2"/>
    </font>
    <font>
      <sz val="10"/>
      <color rgb="FF000000"/>
      <name val="Calibri"/>
      <family val="2"/>
    </font>
    <font>
      <sz val="12"/>
      <name val="Calibri"/>
      <family val="2"/>
    </font>
    <font>
      <sz val="8"/>
      <name val="Arial"/>
      <family val="2"/>
    </font>
    <font>
      <sz val="12"/>
      <color rgb="FF000000"/>
      <name val="Calibri"/>
      <family val="2"/>
    </font>
    <font>
      <sz val="11"/>
      <color rgb="FF000000"/>
      <name val="Aptos Narrow"/>
      <family val="2"/>
    </font>
    <font>
      <sz val="10"/>
      <color rgb="FF000000"/>
      <name val="Arial"/>
      <family val="2"/>
      <scheme val="minor"/>
    </font>
    <font>
      <sz val="10"/>
      <color theme="1"/>
      <name val="Arial"/>
      <family val="2"/>
      <scheme val="minor"/>
    </font>
    <font>
      <sz val="10"/>
      <name val="Calibri"/>
      <family val="2"/>
    </font>
    <font>
      <sz val="10"/>
      <color rgb="FF000000"/>
      <name val="Arial"/>
      <family val="2"/>
    </font>
    <font>
      <sz val="12"/>
      <color rgb="FF000000"/>
      <name val="Arial"/>
      <family val="2"/>
    </font>
    <font>
      <sz val="12"/>
      <color theme="1"/>
      <name val="Aptos Narrow"/>
      <family val="2"/>
    </font>
    <font>
      <sz val="12"/>
      <color theme="1"/>
      <name val="Arial"/>
      <family val="2"/>
    </font>
    <font>
      <u/>
      <sz val="12"/>
      <color theme="1"/>
      <name val="Aptos Narrow"/>
      <family val="2"/>
    </font>
    <font>
      <b/>
      <sz val="12"/>
      <color theme="1"/>
      <name val="Aptos Narrow"/>
      <family val="2"/>
    </font>
    <font>
      <b/>
      <sz val="11"/>
      <color rgb="FF000000"/>
      <name val="Aptos Narrow"/>
      <family val="2"/>
    </font>
    <font>
      <sz val="10"/>
      <color rgb="FF00B0F0"/>
      <name val="Arial"/>
      <family val="2"/>
    </font>
    <font>
      <b/>
      <sz val="10"/>
      <color rgb="FF545B64"/>
      <name val="Helvetica Neue"/>
      <family val="2"/>
    </font>
    <font>
      <b/>
      <sz val="10"/>
      <color rgb="FF000000"/>
      <name val="Arial"/>
      <family val="2"/>
    </font>
    <font>
      <sz val="11"/>
      <color rgb="FF000000"/>
      <name val="Helvetica Neue"/>
      <family val="2"/>
    </font>
    <font>
      <sz val="11"/>
      <color rgb="FF16191F"/>
      <name val="Helvetica Neue"/>
      <family val="2"/>
    </font>
    <font>
      <b/>
      <sz val="11"/>
      <color rgb="FF16191F"/>
      <name val="Helvetica Neue"/>
      <family val="2"/>
    </font>
    <font>
      <b/>
      <sz val="18"/>
      <color rgb="FF000000"/>
      <name val="Arial"/>
    </font>
    <font>
      <b/>
      <sz val="12"/>
      <color theme="4" tint="-0.249977111117893"/>
      <name val="Aptos Narrow"/>
      <family val="2"/>
    </font>
    <font>
      <b/>
      <sz val="10"/>
      <color rgb="FF000000"/>
      <name val="Arial"/>
    </font>
    <font>
      <sz val="12"/>
      <color theme="1"/>
      <name val="Aptos Narrow"/>
    </font>
    <font>
      <sz val="12"/>
      <color theme="1"/>
      <name val="Arial"/>
    </font>
    <font>
      <sz val="12"/>
      <color rgb="FF000000"/>
      <name val="Arial"/>
    </font>
    <font>
      <b/>
      <sz val="12"/>
      <color theme="1"/>
      <name val="Aptos Narrow"/>
    </font>
    <font>
      <sz val="11"/>
      <color theme="1"/>
      <name val="Aptos"/>
    </font>
    <font>
      <b/>
      <sz val="11"/>
      <color theme="1"/>
      <name val="Aptos"/>
    </font>
    <font>
      <sz val="10"/>
      <color theme="1"/>
      <name val="Aptos"/>
    </font>
    <font>
      <sz val="11"/>
      <color rgb="FF000000"/>
      <name val="Aptos"/>
    </font>
    <font>
      <u/>
      <sz val="10"/>
      <color theme="10"/>
      <name val="Arial"/>
    </font>
    <font>
      <sz val="14"/>
      <color rgb="FFFFFFFF"/>
      <name val="Helvetica Neue"/>
      <charset val="1"/>
    </font>
    <font>
      <sz val="18"/>
      <color rgb="FF333333"/>
      <name val="Helvetica Neue"/>
      <charset val="1"/>
    </font>
    <font>
      <sz val="9"/>
      <color rgb="FF333333"/>
      <name val="Helvetica Neue"/>
      <charset val="1"/>
    </font>
    <font>
      <b/>
      <sz val="11"/>
      <color rgb="FF333333"/>
      <name val="Helvetica Neue"/>
      <charset val="1"/>
    </font>
    <font>
      <b/>
      <sz val="11"/>
      <color rgb="FFFFFFFF"/>
      <name val="Helvetica Neue"/>
      <charset val="1"/>
    </font>
    <font>
      <b/>
      <sz val="9"/>
      <color rgb="FF333333"/>
      <name val="Helvetica Neue"/>
      <charset val="1"/>
    </font>
    <font>
      <sz val="10"/>
      <color theme="1"/>
      <name val="Arial"/>
    </font>
  </fonts>
  <fills count="22">
    <fill>
      <patternFill patternType="none"/>
    </fill>
    <fill>
      <patternFill patternType="gray125"/>
    </fill>
    <fill>
      <patternFill patternType="solid">
        <fgColor rgb="FFC6D9F0"/>
        <bgColor rgb="FFC6D9F0"/>
      </patternFill>
    </fill>
    <fill>
      <patternFill patternType="solid">
        <fgColor rgb="FFA5A5A5"/>
        <bgColor rgb="FFA5A5A5"/>
      </patternFill>
    </fill>
    <fill>
      <patternFill patternType="solid">
        <fgColor rgb="FFC9DAF8"/>
        <bgColor rgb="FFC9DAF8"/>
      </patternFill>
    </fill>
    <fill>
      <patternFill patternType="solid">
        <fgColor rgb="FF0F243E"/>
        <bgColor rgb="FF0F243E"/>
      </patternFill>
    </fill>
    <fill>
      <patternFill patternType="solid">
        <fgColor rgb="FFC5D9F1"/>
        <bgColor rgb="FFC5D9F1"/>
      </patternFill>
    </fill>
    <fill>
      <patternFill patternType="solid">
        <fgColor theme="4" tint="0.79998168889431442"/>
        <bgColor indexed="64"/>
      </patternFill>
    </fill>
    <fill>
      <patternFill patternType="solid">
        <fgColor theme="0"/>
        <bgColor rgb="FFC6D9F0"/>
      </patternFill>
    </fill>
    <fill>
      <patternFill patternType="solid">
        <fgColor rgb="FFFFFF0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B7E1CD"/>
        <bgColor indexed="64"/>
      </patternFill>
    </fill>
    <fill>
      <patternFill patternType="solid">
        <fgColor theme="0" tint="-4.9989318521683403E-2"/>
        <bgColor indexed="64"/>
      </patternFill>
    </fill>
    <fill>
      <patternFill patternType="solid">
        <fgColor theme="1"/>
        <bgColor indexed="64"/>
      </patternFill>
    </fill>
    <fill>
      <patternFill patternType="solid">
        <fgColor rgb="FF46B4DE"/>
        <bgColor indexed="64"/>
      </patternFill>
    </fill>
    <fill>
      <patternFill patternType="solid">
        <fgColor rgb="FFEDEFF1"/>
        <bgColor indexed="64"/>
      </patternFill>
    </fill>
    <fill>
      <patternFill patternType="solid">
        <fgColor rgb="FFE5E5E5"/>
        <bgColor indexed="64"/>
      </patternFill>
    </fill>
    <fill>
      <patternFill patternType="solid">
        <fgColor rgb="FFF9F9F9"/>
        <bgColor indexed="64"/>
      </patternFill>
    </fill>
    <fill>
      <patternFill patternType="solid">
        <fgColor rgb="FFFFFFFF"/>
        <bgColor indexed="64"/>
      </patternFill>
    </fill>
    <fill>
      <patternFill patternType="solid">
        <fgColor rgb="FFFF0000"/>
        <bgColor indexed="64"/>
      </patternFill>
    </fill>
    <fill>
      <patternFill patternType="solid">
        <fgColor theme="5" tint="0.79998168889431442"/>
        <bgColor indexed="64"/>
      </patternFill>
    </fill>
  </fills>
  <borders count="24">
    <border>
      <left/>
      <right/>
      <top/>
      <bottom/>
      <diagonal/>
    </border>
    <border>
      <left/>
      <right style="thin">
        <color rgb="FF000000"/>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bottom style="thin">
        <color rgb="FF000000"/>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top style="thin">
        <color rgb="FFDDDDDD"/>
      </top>
      <bottom/>
      <diagonal/>
    </border>
    <border>
      <left/>
      <right/>
      <top style="thin">
        <color rgb="FFDDDDDD"/>
      </top>
      <bottom/>
      <diagonal/>
    </border>
    <border>
      <left/>
      <right style="thin">
        <color rgb="FFDDDDDD"/>
      </right>
      <top style="thin">
        <color rgb="FFDDDDDD"/>
      </top>
      <bottom/>
      <diagonal/>
    </border>
    <border>
      <left style="thin">
        <color rgb="FFDDDDDD"/>
      </left>
      <right/>
      <top style="thin">
        <color rgb="FFEEEEEE"/>
      </top>
      <bottom/>
      <diagonal/>
    </border>
    <border>
      <left/>
      <right/>
      <top style="thin">
        <color rgb="FFEEEEEE"/>
      </top>
      <bottom/>
      <diagonal/>
    </border>
    <border>
      <left/>
      <right style="thin">
        <color rgb="FFDDDDDD"/>
      </right>
      <top style="thin">
        <color rgb="FFEEEEEE"/>
      </top>
      <bottom/>
      <diagonal/>
    </border>
    <border>
      <left style="thin">
        <color rgb="FFDDDDDD"/>
      </left>
      <right/>
      <top style="thin">
        <color rgb="FFEEEEEE"/>
      </top>
      <bottom style="thin">
        <color rgb="FFDDDDDD"/>
      </bottom>
      <diagonal/>
    </border>
    <border>
      <left/>
      <right/>
      <top style="thin">
        <color rgb="FFEEEEEE"/>
      </top>
      <bottom style="thin">
        <color rgb="FFDDDDDD"/>
      </bottom>
      <diagonal/>
    </border>
    <border>
      <left/>
      <right style="thin">
        <color rgb="FFDDDDDD"/>
      </right>
      <top style="thin">
        <color rgb="FFEEEEEE"/>
      </top>
      <bottom style="thin">
        <color rgb="FFDDDDDD"/>
      </bottom>
      <diagonal/>
    </border>
  </borders>
  <cellStyleXfs count="3">
    <xf numFmtId="0" fontId="0" fillId="0" borderId="0"/>
    <xf numFmtId="164" fontId="18" fillId="0" borderId="0" applyFont="0" applyFill="0" applyBorder="0" applyAlignment="0" applyProtection="0"/>
    <xf numFmtId="0" fontId="42" fillId="0" borderId="0" applyNumberFormat="0" applyFill="0" applyBorder="0" applyAlignment="0" applyProtection="0"/>
  </cellStyleXfs>
  <cellXfs count="194">
    <xf numFmtId="0" fontId="0" fillId="0" borderId="0" xfId="0"/>
    <xf numFmtId="0" fontId="3" fillId="0" borderId="0" xfId="0" applyFont="1"/>
    <xf numFmtId="0" fontId="3" fillId="0" borderId="3" xfId="0" applyFont="1" applyBorder="1" applyAlignment="1">
      <alignment horizontal="left"/>
    </xf>
    <xf numFmtId="0" fontId="3" fillId="0" borderId="3" xfId="0" applyFont="1" applyBorder="1" applyAlignment="1">
      <alignment horizontal="center"/>
    </xf>
    <xf numFmtId="0" fontId="2" fillId="0" borderId="0" xfId="0" applyFont="1" applyAlignment="1">
      <alignment horizontal="left"/>
    </xf>
    <xf numFmtId="0" fontId="3" fillId="0" borderId="3" xfId="0" applyFont="1" applyBorder="1"/>
    <xf numFmtId="165" fontId="3" fillId="0" borderId="0" xfId="0" applyNumberFormat="1" applyFont="1"/>
    <xf numFmtId="0" fontId="3" fillId="0" borderId="1" xfId="0" applyFont="1" applyBorder="1"/>
    <xf numFmtId="0" fontId="3" fillId="0" borderId="1" xfId="0" applyFont="1" applyBorder="1" applyAlignment="1">
      <alignment horizontal="center"/>
    </xf>
    <xf numFmtId="0" fontId="3" fillId="0" borderId="5" xfId="0" applyFont="1" applyBorder="1" applyAlignment="1">
      <alignment horizontal="center"/>
    </xf>
    <xf numFmtId="0" fontId="3" fillId="0" borderId="2" xfId="0" applyFont="1" applyBorder="1"/>
    <xf numFmtId="0" fontId="3" fillId="0" borderId="2" xfId="0" applyFont="1" applyBorder="1" applyAlignment="1">
      <alignment horizontal="center"/>
    </xf>
    <xf numFmtId="0" fontId="0" fillId="0" borderId="4" xfId="0" applyBorder="1"/>
    <xf numFmtId="0" fontId="10" fillId="0" borderId="0" xfId="0" applyFont="1"/>
    <xf numFmtId="0" fontId="3" fillId="0" borderId="0" xfId="0" applyFont="1" applyAlignment="1">
      <alignment wrapText="1"/>
    </xf>
    <xf numFmtId="0" fontId="2" fillId="0" borderId="0" xfId="0" applyFont="1" applyAlignment="1">
      <alignment wrapText="1"/>
    </xf>
    <xf numFmtId="0" fontId="3" fillId="0" borderId="0" xfId="0" applyFont="1" applyAlignment="1">
      <alignment horizontal="left" wrapText="1"/>
    </xf>
    <xf numFmtId="0" fontId="10" fillId="0" borderId="0" xfId="0" applyFont="1" applyAlignment="1">
      <alignment wrapText="1"/>
    </xf>
    <xf numFmtId="0" fontId="3" fillId="0" borderId="0" xfId="0" applyFont="1" applyAlignment="1">
      <alignment horizontal="center" vertical="center" wrapText="1"/>
    </xf>
    <xf numFmtId="0" fontId="2" fillId="0" borderId="0" xfId="0" applyFont="1" applyAlignment="1">
      <alignment horizontal="center" vertical="center" wrapText="1"/>
    </xf>
    <xf numFmtId="0" fontId="10" fillId="0" borderId="0" xfId="0" applyFont="1" applyAlignment="1">
      <alignment horizontal="center" vertical="center" wrapText="1"/>
    </xf>
    <xf numFmtId="0" fontId="0" fillId="0" borderId="0" xfId="0" applyAlignment="1">
      <alignment wrapText="1"/>
    </xf>
    <xf numFmtId="0" fontId="3" fillId="0" borderId="0" xfId="0" applyFont="1" applyAlignment="1">
      <alignment vertical="center"/>
    </xf>
    <xf numFmtId="0" fontId="3" fillId="0" borderId="0" xfId="0" applyFont="1" applyAlignment="1">
      <alignment horizontal="left" vertical="center"/>
    </xf>
    <xf numFmtId="0" fontId="10" fillId="0" borderId="0" xfId="0" applyFont="1" applyAlignment="1">
      <alignment vertical="center"/>
    </xf>
    <xf numFmtId="0" fontId="3" fillId="0" borderId="6" xfId="0" applyFont="1" applyBorder="1"/>
    <xf numFmtId="0" fontId="3" fillId="0" borderId="6" xfId="0" applyFont="1" applyBorder="1" applyAlignment="1">
      <alignment horizontal="center" wrapText="1"/>
    </xf>
    <xf numFmtId="0" fontId="2" fillId="3" borderId="6" xfId="0" applyFont="1" applyFill="1" applyBorder="1" applyAlignment="1">
      <alignment wrapText="1"/>
    </xf>
    <xf numFmtId="0" fontId="3" fillId="0" borderId="3" xfId="0" applyFont="1" applyBorder="1" applyAlignment="1">
      <alignment wrapText="1"/>
    </xf>
    <xf numFmtId="0" fontId="3" fillId="0" borderId="2" xfId="0" applyFont="1" applyBorder="1" applyAlignment="1">
      <alignment wrapText="1"/>
    </xf>
    <xf numFmtId="0" fontId="3" fillId="0" borderId="1" xfId="0" applyFont="1" applyBorder="1" applyAlignment="1">
      <alignment wrapText="1"/>
    </xf>
    <xf numFmtId="0" fontId="0" fillId="0" borderId="4" xfId="0" applyBorder="1" applyAlignment="1">
      <alignment wrapText="1"/>
    </xf>
    <xf numFmtId="0" fontId="3" fillId="0" borderId="6" xfId="0" applyFont="1" applyBorder="1" applyAlignment="1">
      <alignment horizontal="center"/>
    </xf>
    <xf numFmtId="0" fontId="9" fillId="0" borderId="5" xfId="0" applyFont="1" applyBorder="1" applyAlignment="1">
      <alignment wrapText="1"/>
    </xf>
    <xf numFmtId="0" fontId="7" fillId="6" borderId="6" xfId="0" applyFont="1" applyFill="1" applyBorder="1" applyAlignment="1">
      <alignment horizontal="center"/>
    </xf>
    <xf numFmtId="0" fontId="3" fillId="0" borderId="6" xfId="0" applyFont="1" applyBorder="1" applyAlignment="1">
      <alignment horizontal="left"/>
    </xf>
    <xf numFmtId="0" fontId="2" fillId="0" borderId="6" xfId="0" applyFont="1" applyBorder="1" applyAlignment="1">
      <alignment wrapText="1"/>
    </xf>
    <xf numFmtId="0" fontId="10" fillId="0" borderId="6" xfId="0" applyFont="1" applyBorder="1"/>
    <xf numFmtId="0" fontId="2" fillId="0" borderId="0" xfId="0" applyFont="1" applyAlignment="1">
      <alignment vertical="center" wrapText="1"/>
    </xf>
    <xf numFmtId="0" fontId="2" fillId="0" borderId="10" xfId="0" applyFont="1" applyBorder="1" applyAlignment="1">
      <alignment horizontal="left"/>
    </xf>
    <xf numFmtId="0" fontId="2" fillId="0" borderId="8" xfId="0" applyFont="1" applyBorder="1" applyAlignment="1">
      <alignment horizontal="left"/>
    </xf>
    <xf numFmtId="1" fontId="3" fillId="0" borderId="6" xfId="0" applyNumberFormat="1" applyFont="1" applyBorder="1" applyAlignment="1">
      <alignment horizontal="right"/>
    </xf>
    <xf numFmtId="0" fontId="3" fillId="0" borderId="0" xfId="0" applyFont="1" applyAlignment="1">
      <alignment horizontal="right" vertical="center"/>
    </xf>
    <xf numFmtId="0" fontId="2" fillId="0" borderId="6" xfId="0" applyFont="1" applyBorder="1" applyAlignment="1">
      <alignment horizontal="left"/>
    </xf>
    <xf numFmtId="1" fontId="10" fillId="0" borderId="6" xfId="0" applyNumberFormat="1" applyFont="1" applyBorder="1"/>
    <xf numFmtId="0" fontId="2" fillId="3" borderId="9" xfId="0" applyFont="1" applyFill="1" applyBorder="1" applyAlignment="1">
      <alignment wrapText="1"/>
    </xf>
    <xf numFmtId="0" fontId="15" fillId="0" borderId="0" xfId="0" applyFont="1" applyAlignment="1">
      <alignment wrapText="1"/>
    </xf>
    <xf numFmtId="0" fontId="15" fillId="0" borderId="0" xfId="0" applyFont="1"/>
    <xf numFmtId="0" fontId="6" fillId="2" borderId="7" xfId="0" applyFont="1" applyFill="1" applyBorder="1" applyAlignment="1">
      <alignment horizontal="center" vertical="center" wrapText="1"/>
    </xf>
    <xf numFmtId="0" fontId="3" fillId="0" borderId="0" xfId="0" applyFont="1" applyAlignment="1">
      <alignment horizontal="left"/>
    </xf>
    <xf numFmtId="0" fontId="2" fillId="3" borderId="6" xfId="0" applyFont="1" applyFill="1" applyBorder="1" applyAlignment="1">
      <alignment vertical="center" wrapText="1"/>
    </xf>
    <xf numFmtId="0" fontId="3" fillId="0" borderId="0" xfId="0" applyFont="1" applyAlignment="1">
      <alignment vertical="center" wrapText="1"/>
    </xf>
    <xf numFmtId="166" fontId="3" fillId="0" borderId="0" xfId="0" applyNumberFormat="1" applyFont="1" applyAlignment="1">
      <alignment vertical="center" wrapText="1"/>
    </xf>
    <xf numFmtId="0" fontId="5" fillId="0" borderId="0" xfId="0" applyFont="1" applyAlignment="1">
      <alignment wrapText="1"/>
    </xf>
    <xf numFmtId="0" fontId="7" fillId="0" borderId="0" xfId="0" applyFont="1" applyAlignment="1">
      <alignment vertical="center"/>
    </xf>
    <xf numFmtId="0" fontId="13" fillId="0" borderId="11" xfId="0" applyFont="1" applyBorder="1" applyAlignment="1">
      <alignment vertical="center" wrapText="1"/>
    </xf>
    <xf numFmtId="0" fontId="6" fillId="0" borderId="4" xfId="0" applyFont="1" applyBorder="1" applyAlignment="1">
      <alignment vertical="center" wrapText="1"/>
    </xf>
    <xf numFmtId="0" fontId="2" fillId="2" borderId="4" xfId="0" applyFont="1" applyFill="1" applyBorder="1" applyAlignment="1">
      <alignment vertical="center" wrapText="1"/>
    </xf>
    <xf numFmtId="0" fontId="6" fillId="8" borderId="4" xfId="0" applyFont="1" applyFill="1" applyBorder="1" applyAlignment="1">
      <alignment vertical="center" wrapText="1"/>
    </xf>
    <xf numFmtId="0" fontId="2" fillId="8" borderId="4" xfId="0" applyFont="1" applyFill="1" applyBorder="1" applyAlignment="1">
      <alignment vertical="center" wrapText="1"/>
    </xf>
    <xf numFmtId="0" fontId="2" fillId="0" borderId="4" xfId="0" applyFont="1" applyBorder="1" applyAlignment="1">
      <alignment vertical="center" wrapText="1"/>
    </xf>
    <xf numFmtId="0" fontId="13" fillId="0" borderId="0" xfId="0" applyFont="1" applyAlignment="1">
      <alignment vertical="center" wrapText="1"/>
    </xf>
    <xf numFmtId="0" fontId="13" fillId="8" borderId="0" xfId="0" applyFont="1" applyFill="1" applyAlignment="1">
      <alignment horizontal="left" vertical="center" wrapText="1"/>
    </xf>
    <xf numFmtId="168" fontId="3" fillId="0" borderId="1" xfId="0" applyNumberFormat="1" applyFont="1" applyBorder="1" applyAlignment="1">
      <alignment horizontal="right"/>
    </xf>
    <xf numFmtId="168" fontId="2" fillId="0" borderId="0" xfId="0" applyNumberFormat="1" applyFont="1"/>
    <xf numFmtId="169" fontId="10" fillId="0" borderId="6" xfId="0" applyNumberFormat="1" applyFont="1" applyBorder="1"/>
    <xf numFmtId="168" fontId="3" fillId="0" borderId="4" xfId="0" applyNumberFormat="1" applyFont="1" applyBorder="1" applyAlignment="1">
      <alignment vertical="center" wrapText="1"/>
    </xf>
    <xf numFmtId="1" fontId="10" fillId="0" borderId="0" xfId="0" applyNumberFormat="1" applyFont="1"/>
    <xf numFmtId="0" fontId="22" fillId="0" borderId="0" xfId="0" applyFont="1"/>
    <xf numFmtId="0" fontId="23" fillId="0" borderId="0" xfId="0" applyFont="1"/>
    <xf numFmtId="0" fontId="24" fillId="7" borderId="4" xfId="0" applyFont="1" applyFill="1" applyBorder="1" applyAlignment="1">
      <alignment horizontal="center" wrapText="1"/>
    </xf>
    <xf numFmtId="0" fontId="24" fillId="7" borderId="4" xfId="0" applyFont="1" applyFill="1" applyBorder="1" applyAlignment="1">
      <alignment horizontal="center"/>
    </xf>
    <xf numFmtId="170" fontId="14" fillId="0" borderId="4" xfId="1" applyNumberFormat="1" applyFont="1" applyBorder="1" applyAlignment="1">
      <alignment horizontal="center"/>
    </xf>
    <xf numFmtId="0" fontId="14" fillId="0" borderId="4" xfId="0" applyFont="1" applyBorder="1" applyAlignment="1">
      <alignment horizontal="center"/>
    </xf>
    <xf numFmtId="0" fontId="24" fillId="0" borderId="0" xfId="0" applyFont="1"/>
    <xf numFmtId="0" fontId="14" fillId="0" borderId="0" xfId="0" applyFont="1"/>
    <xf numFmtId="0" fontId="25" fillId="0" borderId="0" xfId="0" applyFont="1"/>
    <xf numFmtId="0" fontId="26" fillId="12" borderId="6" xfId="0" applyFont="1" applyFill="1" applyBorder="1" applyAlignment="1">
      <alignment wrapText="1"/>
    </xf>
    <xf numFmtId="0" fontId="27" fillId="12" borderId="6" xfId="0" applyFont="1" applyFill="1" applyBorder="1" applyAlignment="1">
      <alignment wrapText="1"/>
    </xf>
    <xf numFmtId="170" fontId="0" fillId="0" borderId="0" xfId="0" applyNumberFormat="1"/>
    <xf numFmtId="170" fontId="27" fillId="0" borderId="0" xfId="1" applyNumberFormat="1" applyFont="1"/>
    <xf numFmtId="0" fontId="28" fillId="9" borderId="6" xfId="0" applyFont="1" applyFill="1" applyBorder="1" applyAlignment="1">
      <alignment wrapText="1"/>
    </xf>
    <xf numFmtId="170" fontId="29" fillId="9" borderId="6" xfId="0" applyNumberFormat="1" applyFont="1" applyFill="1" applyBorder="1" applyAlignment="1">
      <alignment wrapText="1"/>
    </xf>
    <xf numFmtId="0" fontId="29" fillId="9" borderId="6" xfId="0" applyFont="1" applyFill="1" applyBorder="1" applyAlignment="1">
      <alignment wrapText="1"/>
    </xf>
    <xf numFmtId="0" fontId="31" fillId="0" borderId="0" xfId="0" applyFont="1"/>
    <xf numFmtId="0" fontId="5" fillId="7" borderId="0" xfId="0" applyFont="1" applyFill="1"/>
    <xf numFmtId="0" fontId="32" fillId="0" borderId="0" xfId="0" applyFont="1"/>
    <xf numFmtId="0" fontId="6" fillId="0" borderId="0" xfId="0" applyFont="1" applyAlignment="1">
      <alignment vertical="center" wrapText="1"/>
    </xf>
    <xf numFmtId="0" fontId="33" fillId="0" borderId="0" xfId="0" applyFont="1"/>
    <xf numFmtId="0" fontId="0" fillId="0" borderId="0" xfId="0" applyAlignment="1">
      <alignment horizontal="left" vertical="center" indent="1"/>
    </xf>
    <xf numFmtId="0" fontId="33" fillId="0" borderId="0" xfId="0" applyFont="1" applyAlignment="1">
      <alignment horizontal="left" vertical="center" indent="1"/>
    </xf>
    <xf numFmtId="0" fontId="21" fillId="0" borderId="0" xfId="0" applyFont="1"/>
    <xf numFmtId="0" fontId="20" fillId="0" borderId="0" xfId="0" applyFont="1"/>
    <xf numFmtId="0" fontId="17" fillId="0" borderId="4" xfId="0" applyFont="1" applyBorder="1" applyAlignment="1">
      <alignment vertical="center" wrapText="1"/>
    </xf>
    <xf numFmtId="0" fontId="1" fillId="0" borderId="0" xfId="0" applyFont="1" applyAlignment="1">
      <alignment wrapText="1"/>
    </xf>
    <xf numFmtId="0" fontId="10" fillId="0" borderId="4" xfId="0" applyFont="1" applyBorder="1" applyAlignment="1">
      <alignment vertical="center" wrapText="1"/>
    </xf>
    <xf numFmtId="0" fontId="19" fillId="0" borderId="0" xfId="0" applyFont="1" applyAlignment="1">
      <alignment wrapText="1"/>
    </xf>
    <xf numFmtId="0" fontId="22" fillId="0" borderId="0" xfId="0" applyFont="1" applyAlignment="1">
      <alignment wrapText="1"/>
    </xf>
    <xf numFmtId="0" fontId="10" fillId="0" borderId="0" xfId="0" applyFont="1" applyAlignment="1">
      <alignment vertical="center" wrapText="1"/>
    </xf>
    <xf numFmtId="168" fontId="3" fillId="0" borderId="8" xfId="0" applyNumberFormat="1" applyFont="1" applyBorder="1" applyAlignment="1">
      <alignment vertical="center" wrapText="1"/>
    </xf>
    <xf numFmtId="167" fontId="3" fillId="0" borderId="8" xfId="0" applyNumberFormat="1" applyFont="1" applyBorder="1" applyAlignment="1">
      <alignment vertical="center" wrapText="1"/>
    </xf>
    <xf numFmtId="167" fontId="3" fillId="0" borderId="6" xfId="0" applyNumberFormat="1" applyFont="1" applyBorder="1" applyAlignment="1">
      <alignment vertical="center" wrapText="1"/>
    </xf>
    <xf numFmtId="0" fontId="35" fillId="0" borderId="0" xfId="0" applyFont="1"/>
    <xf numFmtId="0" fontId="35" fillId="0" borderId="0" xfId="0" applyFont="1" applyAlignment="1">
      <alignment wrapText="1"/>
    </xf>
    <xf numFmtId="0" fontId="19" fillId="10" borderId="0" xfId="0" applyFont="1" applyFill="1" applyAlignment="1">
      <alignment wrapText="1"/>
    </xf>
    <xf numFmtId="0" fontId="36" fillId="0" borderId="4" xfId="0" applyFont="1" applyBorder="1" applyAlignment="1">
      <alignment wrapText="1"/>
    </xf>
    <xf numFmtId="0" fontId="13" fillId="0" borderId="10" xfId="0" applyFont="1" applyBorder="1" applyAlignment="1">
      <alignment vertical="center" wrapText="1"/>
    </xf>
    <xf numFmtId="0" fontId="13" fillId="0" borderId="12" xfId="0" applyFont="1" applyBorder="1" applyAlignment="1">
      <alignment vertical="center" wrapText="1"/>
    </xf>
    <xf numFmtId="0" fontId="6" fillId="0" borderId="1" xfId="0" applyFont="1" applyBorder="1" applyAlignment="1">
      <alignment vertical="center" wrapText="1"/>
    </xf>
    <xf numFmtId="0" fontId="14" fillId="0" borderId="1" xfId="0" applyFont="1" applyBorder="1" applyAlignment="1">
      <alignment vertical="center" wrapText="1"/>
    </xf>
    <xf numFmtId="168" fontId="3" fillId="0" borderId="5" xfId="0" applyNumberFormat="1" applyFont="1" applyBorder="1" applyAlignment="1">
      <alignment vertical="center" wrapText="1"/>
    </xf>
    <xf numFmtId="0" fontId="34" fillId="0" borderId="4" xfId="0" applyFont="1" applyBorder="1"/>
    <xf numFmtId="0" fontId="35" fillId="0" borderId="4" xfId="0" applyFont="1" applyBorder="1"/>
    <xf numFmtId="0" fontId="34" fillId="0" borderId="4" xfId="0" applyFont="1" applyBorder="1" applyAlignment="1">
      <alignment horizontal="right"/>
    </xf>
    <xf numFmtId="0" fontId="35" fillId="0" borderId="4" xfId="0" applyFont="1" applyBorder="1" applyAlignment="1">
      <alignment horizontal="right"/>
    </xf>
    <xf numFmtId="0" fontId="36" fillId="0" borderId="10" xfId="0" applyFont="1" applyBorder="1" applyAlignment="1">
      <alignment wrapText="1"/>
    </xf>
    <xf numFmtId="0" fontId="6" fillId="8" borderId="1" xfId="0" applyFont="1" applyFill="1" applyBorder="1" applyAlignment="1">
      <alignment vertical="center" wrapText="1"/>
    </xf>
    <xf numFmtId="168" fontId="10" fillId="0" borderId="6" xfId="0" applyNumberFormat="1" applyFont="1" applyBorder="1"/>
    <xf numFmtId="0" fontId="16" fillId="0" borderId="0" xfId="0" applyFont="1"/>
    <xf numFmtId="0" fontId="37" fillId="0" borderId="0" xfId="0" applyFont="1"/>
    <xf numFmtId="0" fontId="37" fillId="0" borderId="0" xfId="0" applyFont="1" applyAlignment="1">
      <alignment wrapText="1"/>
    </xf>
    <xf numFmtId="0" fontId="38" fillId="0" borderId="0" xfId="0" applyFont="1"/>
    <xf numFmtId="0" fontId="39" fillId="0" borderId="0" xfId="0" applyFont="1" applyAlignment="1">
      <alignment vertical="center"/>
    </xf>
    <xf numFmtId="0" fontId="38" fillId="0" borderId="0" xfId="0" applyFont="1" applyAlignment="1">
      <alignment vertical="center"/>
    </xf>
    <xf numFmtId="0" fontId="39" fillId="0" borderId="0" xfId="0" applyFont="1" applyAlignment="1">
      <alignment horizontal="center" vertical="center"/>
    </xf>
    <xf numFmtId="9" fontId="40" fillId="0" borderId="0" xfId="0" applyNumberFormat="1" applyFont="1" applyAlignment="1">
      <alignment horizontal="center" vertical="center" readingOrder="2"/>
    </xf>
    <xf numFmtId="0" fontId="40" fillId="0" borderId="0" xfId="0" applyFont="1" applyAlignment="1">
      <alignment horizontal="center" vertical="center" readingOrder="2"/>
    </xf>
    <xf numFmtId="171" fontId="38" fillId="0" borderId="0" xfId="0" applyNumberFormat="1" applyFont="1" applyAlignment="1">
      <alignment horizontal="center" vertical="center"/>
    </xf>
    <xf numFmtId="0" fontId="38" fillId="0" borderId="0" xfId="0" applyFont="1" applyAlignment="1">
      <alignment horizontal="center" vertical="center"/>
    </xf>
    <xf numFmtId="0" fontId="41" fillId="0" borderId="0" xfId="0" applyFont="1" applyAlignment="1">
      <alignment vertical="center"/>
    </xf>
    <xf numFmtId="0" fontId="38" fillId="0" borderId="0" xfId="0" applyFont="1" applyAlignment="1">
      <alignment vertical="center" wrapText="1"/>
    </xf>
    <xf numFmtId="0" fontId="38" fillId="0" borderId="0" xfId="0" applyFont="1" applyAlignment="1">
      <alignment wrapText="1"/>
    </xf>
    <xf numFmtId="0" fontId="39" fillId="0" borderId="0" xfId="0" applyFont="1" applyAlignment="1">
      <alignment horizontal="center" vertical="center" wrapText="1"/>
    </xf>
    <xf numFmtId="9" fontId="40" fillId="0" borderId="0" xfId="0" applyNumberFormat="1" applyFont="1" applyAlignment="1">
      <alignment horizontal="center" vertical="center" wrapText="1" readingOrder="2"/>
    </xf>
    <xf numFmtId="0" fontId="40" fillId="0" borderId="0" xfId="0" applyFont="1" applyAlignment="1">
      <alignment horizontal="center" vertical="center" wrapText="1" readingOrder="2"/>
    </xf>
    <xf numFmtId="172" fontId="38" fillId="0" borderId="0" xfId="0" applyNumberFormat="1" applyFont="1" applyAlignment="1">
      <alignment horizontal="center" vertical="center" wrapText="1"/>
    </xf>
    <xf numFmtId="0" fontId="38" fillId="0" borderId="0" xfId="0" applyFont="1" applyAlignment="1">
      <alignment horizontal="center" vertical="center" wrapText="1"/>
    </xf>
    <xf numFmtId="0" fontId="10" fillId="14" borderId="0" xfId="0" applyFont="1" applyFill="1"/>
    <xf numFmtId="168" fontId="10" fillId="14" borderId="0" xfId="0" applyNumberFormat="1" applyFont="1" applyFill="1"/>
    <xf numFmtId="0" fontId="43" fillId="15" borderId="0" xfId="0" applyFont="1" applyFill="1" applyAlignment="1">
      <alignment wrapText="1"/>
    </xf>
    <xf numFmtId="0" fontId="44" fillId="16" borderId="0" xfId="0" applyFont="1" applyFill="1" applyAlignment="1">
      <alignment wrapText="1"/>
    </xf>
    <xf numFmtId="0" fontId="46" fillId="0" borderId="0" xfId="0" applyFont="1" applyAlignment="1">
      <alignment wrapText="1"/>
    </xf>
    <xf numFmtId="0" fontId="33" fillId="17" borderId="15" xfId="0" applyFont="1" applyFill="1" applyBorder="1"/>
    <xf numFmtId="0" fontId="33" fillId="17" borderId="16" xfId="0" applyFont="1" applyFill="1" applyBorder="1"/>
    <xf numFmtId="0" fontId="33" fillId="17" borderId="17" xfId="0" applyFont="1" applyFill="1" applyBorder="1"/>
    <xf numFmtId="0" fontId="42" fillId="18" borderId="15" xfId="2" applyFill="1" applyBorder="1"/>
    <xf numFmtId="0" fontId="0" fillId="18" borderId="16" xfId="0" applyFill="1" applyBorder="1"/>
    <xf numFmtId="8" fontId="0" fillId="18" borderId="16" xfId="0" applyNumberFormat="1" applyFill="1" applyBorder="1"/>
    <xf numFmtId="0" fontId="0" fillId="18" borderId="17" xfId="0" applyFill="1" applyBorder="1"/>
    <xf numFmtId="0" fontId="42" fillId="19" borderId="18" xfId="2" applyFill="1" applyBorder="1"/>
    <xf numFmtId="0" fontId="0" fillId="19" borderId="19" xfId="0" applyFill="1" applyBorder="1"/>
    <xf numFmtId="8" fontId="0" fillId="19" borderId="19" xfId="0" applyNumberFormat="1" applyFill="1" applyBorder="1"/>
    <xf numFmtId="0" fontId="0" fillId="19" borderId="20" xfId="0" applyFill="1" applyBorder="1"/>
    <xf numFmtId="0" fontId="42" fillId="18" borderId="18" xfId="2" applyFill="1" applyBorder="1"/>
    <xf numFmtId="0" fontId="0" fillId="18" borderId="19" xfId="0" applyFill="1" applyBorder="1"/>
    <xf numFmtId="8" fontId="0" fillId="18" borderId="19" xfId="0" applyNumberFormat="1" applyFill="1" applyBorder="1"/>
    <xf numFmtId="0" fontId="0" fillId="18" borderId="20" xfId="0" applyFill="1" applyBorder="1"/>
    <xf numFmtId="0" fontId="33" fillId="0" borderId="15" xfId="0" applyFont="1" applyBorder="1"/>
    <xf numFmtId="0" fontId="33" fillId="0" borderId="16" xfId="0" applyFont="1" applyBorder="1"/>
    <xf numFmtId="0" fontId="33" fillId="0" borderId="17" xfId="0" applyFont="1" applyBorder="1"/>
    <xf numFmtId="0" fontId="33" fillId="0" borderId="21" xfId="0" applyFont="1" applyBorder="1"/>
    <xf numFmtId="0" fontId="0" fillId="0" borderId="22" xfId="0" applyBorder="1"/>
    <xf numFmtId="8" fontId="0" fillId="0" borderId="22" xfId="0" applyNumberFormat="1" applyBorder="1"/>
    <xf numFmtId="0" fontId="0" fillId="0" borderId="23" xfId="0" applyBorder="1"/>
    <xf numFmtId="0" fontId="47" fillId="0" borderId="0" xfId="0" applyFont="1" applyAlignment="1">
      <alignment wrapText="1"/>
    </xf>
    <xf numFmtId="0" fontId="46" fillId="0" borderId="0" xfId="0" applyFont="1"/>
    <xf numFmtId="0" fontId="48" fillId="0" borderId="0" xfId="0" applyFont="1" applyAlignment="1">
      <alignment wrapText="1"/>
    </xf>
    <xf numFmtId="0" fontId="49" fillId="20" borderId="19" xfId="0" applyFont="1" applyFill="1" applyBorder="1"/>
    <xf numFmtId="0" fontId="0" fillId="20" borderId="19" xfId="0" applyFill="1" applyBorder="1"/>
    <xf numFmtId="0" fontId="0" fillId="21" borderId="19" xfId="0" applyFill="1" applyBorder="1"/>
    <xf numFmtId="0" fontId="6" fillId="2" borderId="6" xfId="0" applyFont="1" applyFill="1" applyBorder="1" applyAlignment="1">
      <alignment horizontal="center" wrapText="1"/>
    </xf>
    <xf numFmtId="0" fontId="6" fillId="2" borderId="7" xfId="0" applyFont="1" applyFill="1" applyBorder="1" applyAlignment="1">
      <alignment horizont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5" fillId="13" borderId="0" xfId="0" applyFont="1" applyFill="1" applyAlignment="1">
      <alignment horizontal="center"/>
    </xf>
    <xf numFmtId="0" fontId="6" fillId="4" borderId="0" xfId="0" applyFont="1" applyFill="1" applyAlignment="1">
      <alignment horizontal="center"/>
    </xf>
    <xf numFmtId="0" fontId="2" fillId="2" borderId="6" xfId="0" applyFont="1" applyFill="1" applyBorder="1" applyAlignment="1">
      <alignment horizontal="center" wrapText="1"/>
    </xf>
    <xf numFmtId="0" fontId="2" fillId="2" borderId="7" xfId="0" applyFont="1" applyFill="1" applyBorder="1" applyAlignment="1">
      <alignment horizontal="center" wrapText="1"/>
    </xf>
    <xf numFmtId="0" fontId="13" fillId="8" borderId="0" xfId="0" applyFont="1" applyFill="1" applyAlignment="1">
      <alignment horizontal="left" vertical="center" wrapText="1"/>
    </xf>
    <xf numFmtId="0" fontId="6" fillId="2" borderId="6" xfId="0" applyFont="1" applyFill="1" applyBorder="1" applyAlignment="1">
      <alignment horizontal="center" vertical="top" wrapText="1"/>
    </xf>
    <xf numFmtId="0" fontId="11" fillId="0" borderId="7" xfId="0" applyFont="1" applyBorder="1" applyAlignment="1">
      <alignment wrapText="1"/>
    </xf>
    <xf numFmtId="0" fontId="13" fillId="0" borderId="0" xfId="0" applyFont="1" applyAlignment="1">
      <alignment horizontal="left" vertical="center" wrapText="1"/>
    </xf>
    <xf numFmtId="0" fontId="6" fillId="2" borderId="9"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6" fillId="2" borderId="14" xfId="0" applyFont="1" applyFill="1" applyBorder="1" applyAlignment="1">
      <alignment horizontal="center" vertical="center" wrapText="1"/>
    </xf>
    <xf numFmtId="0" fontId="11" fillId="0" borderId="7" xfId="0" applyFont="1" applyBorder="1" applyAlignment="1">
      <alignment horizontal="center" vertical="center" wrapText="1"/>
    </xf>
    <xf numFmtId="0" fontId="30" fillId="9" borderId="6" xfId="0" applyFont="1" applyFill="1" applyBorder="1" applyAlignment="1">
      <alignment wrapText="1"/>
    </xf>
    <xf numFmtId="0" fontId="24" fillId="11" borderId="0" xfId="0" applyFont="1" applyFill="1" applyAlignment="1">
      <alignment horizontal="center"/>
    </xf>
    <xf numFmtId="0" fontId="28" fillId="9" borderId="6" xfId="0" applyFont="1" applyFill="1" applyBorder="1" applyAlignment="1">
      <alignment wrapText="1"/>
    </xf>
    <xf numFmtId="0" fontId="8" fillId="5" borderId="6" xfId="0" applyFont="1" applyFill="1" applyBorder="1" applyAlignment="1">
      <alignment horizontal="center"/>
    </xf>
    <xf numFmtId="0" fontId="3" fillId="0" borderId="6" xfId="0" applyFont="1" applyBorder="1" applyAlignment="1">
      <alignment horizontal="center"/>
    </xf>
    <xf numFmtId="0" fontId="10" fillId="0" borderId="0" xfId="0" applyFont="1" applyAlignment="1"/>
    <xf numFmtId="0" fontId="4" fillId="0" borderId="6" xfId="0" applyFont="1" applyBorder="1" applyAlignment="1"/>
    <xf numFmtId="0" fontId="0" fillId="0" borderId="6" xfId="0" applyBorder="1" applyAlignment="1"/>
  </cellXfs>
  <cellStyles count="3">
    <cellStyle name="Currency" xfId="1" builtinId="4"/>
    <cellStyle name="Hyperlink" xfId="2" xr:uid="{00000000-000B-0000-0000-000008000000}"/>
    <cellStyle name="Normal" xfId="0" builtinId="0"/>
  </cellStyles>
  <dxfs count="2">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142875</xdr:colOff>
      <xdr:row>7</xdr:row>
      <xdr:rowOff>66675</xdr:rowOff>
    </xdr:from>
    <xdr:to>
      <xdr:col>9</xdr:col>
      <xdr:colOff>152400</xdr:colOff>
      <xdr:row>37</xdr:row>
      <xdr:rowOff>66675</xdr:rowOff>
    </xdr:to>
    <xdr:pic>
      <xdr:nvPicPr>
        <xdr:cNvPr id="2" name="Picture 1">
          <a:extLst>
            <a:ext uri="{FF2B5EF4-FFF2-40B4-BE49-F238E27FC236}">
              <a16:creationId xmlns:a16="http://schemas.microsoft.com/office/drawing/2014/main" id="{44E2E425-51F8-9FDC-8BC1-2138F02C6CA0}"/>
            </a:ext>
          </a:extLst>
        </xdr:cNvPr>
        <xdr:cNvPicPr>
          <a:picLocks noChangeAspect="1"/>
        </xdr:cNvPicPr>
      </xdr:nvPicPr>
      <xdr:blipFill>
        <a:blip xmlns:r="http://schemas.openxmlformats.org/officeDocument/2006/relationships" r:embed="rId1"/>
        <a:stretch>
          <a:fillRect/>
        </a:stretch>
      </xdr:blipFill>
      <xdr:spPr>
        <a:xfrm>
          <a:off x="3686175" y="1133475"/>
          <a:ext cx="1781175" cy="4572000"/>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hrs.comm-it.co.il/admin/detailedmonthlyreport/?from_date=2025-12-01&amp;to_date=2026-02-28&amp;company_id=1&amp;department_id=2&amp;customer_id=1470&amp;project_id=4864&amp;employee_id=1423" TargetMode="External"/><Relationship Id="rId7" Type="http://schemas.openxmlformats.org/officeDocument/2006/relationships/hyperlink" Target="https://hrs.comm-it.co.il/admin/detailedmonthlyreport/?from_date=2025-12-01&amp;to_date=2026-02-28&amp;company_id=3&amp;department_id=16&amp;customer_id=1470&amp;project_id=4864&amp;employee_id=487" TargetMode="External"/><Relationship Id="rId2" Type="http://schemas.openxmlformats.org/officeDocument/2006/relationships/hyperlink" Target="https://hrs.comm-it.co.il/admin/detailedmonthlyreport/?from_date=2025-12-01&amp;to_date=2026-02-28&amp;company_id=1&amp;department_id=2&amp;customer_id=1470&amp;project_id=4864&amp;employee_id=1070" TargetMode="External"/><Relationship Id="rId1" Type="http://schemas.openxmlformats.org/officeDocument/2006/relationships/hyperlink" Target="https://hrs.comm-it.co.il/admin/detailedmonthlyreport/?from_date=2025-12-01&amp;to_date=2026-02-28&amp;company_id=1&amp;department_id=2&amp;customer_id=1470&amp;project_id=4864&amp;employee_id=1460" TargetMode="External"/><Relationship Id="rId6" Type="http://schemas.openxmlformats.org/officeDocument/2006/relationships/hyperlink" Target="https://hrs.comm-it.co.il/admin/detailedmonthlyreport/?from_date=2025-12-01&amp;to_date=2026-02-28&amp;company_id=1&amp;department_id=2&amp;customer_id=1470&amp;project_id=4864&amp;employee_id=1441" TargetMode="External"/><Relationship Id="rId5" Type="http://schemas.openxmlformats.org/officeDocument/2006/relationships/hyperlink" Target="https://hrs.comm-it.co.il/admin/detailedmonthlyreport/?from_date=2025-12-01&amp;to_date=2026-02-28&amp;company_id=1&amp;department_id=2&amp;customer_id=1470&amp;project_id=4864&amp;employee_id=1426" TargetMode="External"/><Relationship Id="rId4" Type="http://schemas.openxmlformats.org/officeDocument/2006/relationships/hyperlink" Target="https://hrs.comm-it.co.il/admin/detailedmonthlyreport/?from_date=2025-12-01&amp;to_date=2026-02-28&amp;company_id=1&amp;department_id=2&amp;customer_id=1470&amp;project_id=4864&amp;employee_id=1169"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BAB43-751E-7D4F-9C4D-110924477FE7}">
  <dimension ref="A1:M46"/>
  <sheetViews>
    <sheetView workbookViewId="0">
      <selection activeCell="A4" sqref="A4"/>
    </sheetView>
  </sheetViews>
  <sheetFormatPr defaultColWidth="11.42578125" defaultRowHeight="12.6"/>
  <sheetData>
    <row r="1" spans="1:1" ht="23.1">
      <c r="A1" s="84"/>
    </row>
    <row r="2" spans="1:1" ht="15.95">
      <c r="A2" s="86" t="s">
        <v>0</v>
      </c>
    </row>
    <row r="3" spans="1:1">
      <c r="A3" t="s">
        <v>1</v>
      </c>
    </row>
    <row r="4" spans="1:1">
      <c r="A4" t="s">
        <v>2</v>
      </c>
    </row>
    <row r="5" spans="1:1">
      <c r="A5" t="s">
        <v>3</v>
      </c>
    </row>
    <row r="6" spans="1:1" ht="15.6">
      <c r="A6" s="91"/>
    </row>
    <row r="8" spans="1:1" ht="15.95">
      <c r="A8" s="86" t="s">
        <v>4</v>
      </c>
    </row>
    <row r="9" spans="1:1">
      <c r="A9" t="s">
        <v>5</v>
      </c>
    </row>
    <row r="10" spans="1:1">
      <c r="A10" t="s">
        <v>6</v>
      </c>
    </row>
    <row r="11" spans="1:1">
      <c r="A11" t="s">
        <v>7</v>
      </c>
    </row>
    <row r="12" spans="1:1">
      <c r="A12" t="s">
        <v>8</v>
      </c>
    </row>
    <row r="13" spans="1:1">
      <c r="A13" t="s">
        <v>9</v>
      </c>
    </row>
    <row r="14" spans="1:1" ht="15.95">
      <c r="A14" s="68"/>
    </row>
    <row r="15" spans="1:1" ht="15.95">
      <c r="A15" s="86" t="s">
        <v>10</v>
      </c>
    </row>
    <row r="16" spans="1:1" ht="15.6">
      <c r="A16" s="91" t="s">
        <v>11</v>
      </c>
    </row>
    <row r="17" spans="1:1" ht="15.6">
      <c r="A17" s="91" t="s">
        <v>12</v>
      </c>
    </row>
    <row r="18" spans="1:1" ht="15.95">
      <c r="A18" s="92" t="s">
        <v>13</v>
      </c>
    </row>
    <row r="20" spans="1:1" ht="15.95">
      <c r="A20" s="68"/>
    </row>
    <row r="21" spans="1:1" ht="15.95">
      <c r="A21" s="86" t="s">
        <v>14</v>
      </c>
    </row>
    <row r="22" spans="1:1">
      <c r="A22" t="s">
        <v>15</v>
      </c>
    </row>
    <row r="26" spans="1:1" ht="15.6">
      <c r="A26" s="91"/>
    </row>
    <row r="27" spans="1:1" ht="15.95">
      <c r="A27" s="69"/>
    </row>
    <row r="29" spans="1:1" ht="15.95">
      <c r="A29" s="86" t="s">
        <v>16</v>
      </c>
    </row>
    <row r="30" spans="1:1" ht="12.95">
      <c r="A30" s="88" t="s">
        <v>17</v>
      </c>
    </row>
    <row r="31" spans="1:1" ht="12.95">
      <c r="A31" s="90" t="s">
        <v>18</v>
      </c>
    </row>
    <row r="32" spans="1:1" ht="12.95">
      <c r="A32" s="90" t="s">
        <v>19</v>
      </c>
    </row>
    <row r="33" spans="1:13" ht="12.95">
      <c r="A33" s="90" t="s">
        <v>20</v>
      </c>
    </row>
    <row r="35" spans="1:13" ht="15.6">
      <c r="A35" s="91"/>
    </row>
    <row r="36" spans="1:13">
      <c r="M36" s="89"/>
    </row>
    <row r="37" spans="1:13" ht="15.95">
      <c r="A37" s="68"/>
      <c r="M37" s="90"/>
    </row>
    <row r="38" spans="1:13" ht="15.95">
      <c r="A38" s="86" t="s">
        <v>21</v>
      </c>
      <c r="M38" s="89"/>
    </row>
    <row r="39" spans="1:13" ht="12.95">
      <c r="A39" t="s">
        <v>22</v>
      </c>
      <c r="B39" t="s">
        <v>23</v>
      </c>
      <c r="M39" s="90"/>
    </row>
    <row r="40" spans="1:13">
      <c r="A40" t="s">
        <v>24</v>
      </c>
      <c r="B40" t="s">
        <v>25</v>
      </c>
      <c r="M40" s="89"/>
    </row>
    <row r="41" spans="1:13" ht="12.95">
      <c r="A41" t="s">
        <v>26</v>
      </c>
      <c r="B41" t="s">
        <v>27</v>
      </c>
      <c r="M41" s="90"/>
    </row>
    <row r="42" spans="1:13">
      <c r="A42" t="s">
        <v>28</v>
      </c>
      <c r="B42" t="s">
        <v>29</v>
      </c>
      <c r="M42" s="89"/>
    </row>
    <row r="43" spans="1:13" ht="12.95">
      <c r="A43" t="s">
        <v>30</v>
      </c>
      <c r="B43" t="s">
        <v>31</v>
      </c>
      <c r="M43" s="90"/>
    </row>
    <row r="44" spans="1:13">
      <c r="A44" t="s">
        <v>32</v>
      </c>
      <c r="B44" t="s">
        <v>33</v>
      </c>
    </row>
    <row r="45" spans="1:13">
      <c r="A45" t="s">
        <v>34</v>
      </c>
      <c r="B45" t="s">
        <v>35</v>
      </c>
    </row>
    <row r="46" spans="1:13">
      <c r="A46"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59"/>
  <sheetViews>
    <sheetView tabSelected="1" topLeftCell="J29" zoomScaleNormal="100" workbookViewId="0">
      <selection activeCell="U37" sqref="U37"/>
    </sheetView>
  </sheetViews>
  <sheetFormatPr defaultColWidth="14.42578125" defaultRowHeight="15"/>
  <cols>
    <col min="1" max="1" width="16.28515625" style="1" customWidth="1"/>
    <col min="2" max="2" width="15.28515625" style="20" customWidth="1"/>
    <col min="3" max="3" width="33.7109375" style="17" customWidth="1"/>
    <col min="4" max="4" width="88.140625" style="17" customWidth="1"/>
    <col min="5" max="6" width="14.42578125" style="17" customWidth="1"/>
    <col min="7" max="8" width="9.42578125" style="24" customWidth="1"/>
    <col min="9" max="9" width="14.42578125" style="24" customWidth="1"/>
    <col min="10" max="10" width="14.42578125" style="13" customWidth="1"/>
    <col min="11" max="11" width="70.28515625" style="13" customWidth="1"/>
    <col min="12" max="12" width="15.42578125" style="13" bestFit="1" customWidth="1"/>
    <col min="13" max="15" width="14.42578125" style="13" customWidth="1"/>
    <col min="16" max="16" width="15.42578125" style="13" bestFit="1" customWidth="1"/>
    <col min="17" max="17" width="14.42578125" style="13" customWidth="1"/>
    <col min="18" max="16384" width="14.42578125" style="13"/>
  </cols>
  <sheetData>
    <row r="1" spans="1:17" ht="16.5" customHeight="1">
      <c r="A1" s="179" t="s">
        <v>37</v>
      </c>
      <c r="B1" s="172" t="s">
        <v>38</v>
      </c>
      <c r="C1" s="172" t="s">
        <v>39</v>
      </c>
      <c r="D1" s="172" t="s">
        <v>40</v>
      </c>
      <c r="E1" s="182" t="s">
        <v>41</v>
      </c>
      <c r="F1" s="183"/>
      <c r="G1" s="183"/>
      <c r="H1" s="184"/>
      <c r="I1" s="172" t="s">
        <v>42</v>
      </c>
      <c r="J1" s="170" t="s">
        <v>43</v>
      </c>
      <c r="K1" s="170" t="s">
        <v>44</v>
      </c>
      <c r="L1" s="176" t="s">
        <v>45</v>
      </c>
    </row>
    <row r="2" spans="1:17" ht="16.5">
      <c r="A2" s="180"/>
      <c r="B2" s="185"/>
      <c r="C2" s="185"/>
      <c r="D2" s="173"/>
      <c r="E2" s="48" t="s">
        <v>46</v>
      </c>
      <c r="F2" s="48" t="s">
        <v>47</v>
      </c>
      <c r="G2" s="48" t="s">
        <v>48</v>
      </c>
      <c r="H2" s="48" t="s">
        <v>49</v>
      </c>
      <c r="I2" s="173"/>
      <c r="J2" s="171"/>
      <c r="K2" s="171"/>
      <c r="L2" s="177"/>
    </row>
    <row r="3" spans="1:17" ht="15.75">
      <c r="A3" s="106"/>
      <c r="B3" s="93"/>
      <c r="C3" s="105" t="s">
        <v>50</v>
      </c>
      <c r="D3" s="115" t="s">
        <v>51</v>
      </c>
      <c r="E3" s="111">
        <v>1</v>
      </c>
      <c r="F3" s="111">
        <v>4</v>
      </c>
      <c r="G3" s="108"/>
      <c r="H3" s="56"/>
      <c r="I3" s="66">
        <f>(G3*$G$12+H3*$H$12+E3*$E$12+F3*$F$12)*9</f>
        <v>5580</v>
      </c>
      <c r="J3" s="56">
        <v>1</v>
      </c>
      <c r="K3" s="108"/>
      <c r="L3" s="57"/>
    </row>
    <row r="4" spans="1:17" ht="60">
      <c r="A4" s="106"/>
      <c r="B4" s="95"/>
      <c r="C4" s="105" t="s">
        <v>52</v>
      </c>
      <c r="D4" s="115" t="s">
        <v>53</v>
      </c>
      <c r="E4" s="112">
        <v>2</v>
      </c>
      <c r="F4" s="111">
        <v>0</v>
      </c>
      <c r="G4" s="116"/>
      <c r="H4" s="58"/>
      <c r="I4" s="66">
        <f t="shared" ref="I3:I8" si="0">(G4*$G$12+H4*$H$12+E4*$E$12+F4*$F$12)*9</f>
        <v>2520</v>
      </c>
      <c r="J4" s="58">
        <v>1</v>
      </c>
      <c r="K4" s="109" t="s">
        <v>54</v>
      </c>
      <c r="L4" s="59"/>
    </row>
    <row r="5" spans="1:17" ht="30">
      <c r="A5" s="106"/>
      <c r="B5" s="95"/>
      <c r="C5" s="105" t="s">
        <v>55</v>
      </c>
      <c r="D5" s="115" t="s">
        <v>56</v>
      </c>
      <c r="E5" s="112">
        <v>2</v>
      </c>
      <c r="F5" s="111">
        <v>0</v>
      </c>
      <c r="G5" s="108"/>
      <c r="H5" s="56"/>
      <c r="I5" s="66">
        <f t="shared" si="0"/>
        <v>2520</v>
      </c>
      <c r="J5" s="56">
        <v>1</v>
      </c>
      <c r="K5" s="108"/>
      <c r="L5" s="60"/>
    </row>
    <row r="6" spans="1:17" ht="45">
      <c r="A6" s="106"/>
      <c r="B6" s="95"/>
      <c r="C6" s="105" t="s">
        <v>57</v>
      </c>
      <c r="D6" s="115" t="s">
        <v>58</v>
      </c>
      <c r="E6" s="112">
        <v>3</v>
      </c>
      <c r="F6" s="111">
        <v>0</v>
      </c>
      <c r="G6" s="108"/>
      <c r="H6" s="56"/>
      <c r="I6" s="66">
        <f t="shared" si="0"/>
        <v>3780</v>
      </c>
      <c r="J6" s="56">
        <v>1</v>
      </c>
      <c r="K6" s="108"/>
      <c r="L6" s="60"/>
    </row>
    <row r="7" spans="1:17" ht="45">
      <c r="A7" s="106"/>
      <c r="B7" s="95"/>
      <c r="C7" s="105" t="s">
        <v>59</v>
      </c>
      <c r="D7" s="115" t="s">
        <v>60</v>
      </c>
      <c r="E7" s="112">
        <v>4</v>
      </c>
      <c r="F7" s="111">
        <v>0</v>
      </c>
      <c r="G7" s="108"/>
      <c r="H7" s="56"/>
      <c r="I7" s="66">
        <f t="shared" si="0"/>
        <v>5040</v>
      </c>
      <c r="J7" s="56">
        <v>1</v>
      </c>
      <c r="K7" s="108"/>
      <c r="L7" s="60"/>
    </row>
    <row r="8" spans="1:17" ht="45">
      <c r="A8" s="106"/>
      <c r="B8" s="95"/>
      <c r="C8" s="105" t="s">
        <v>61</v>
      </c>
      <c r="D8" s="115" t="s">
        <v>62</v>
      </c>
      <c r="E8" s="112">
        <v>3</v>
      </c>
      <c r="F8" s="112">
        <v>0</v>
      </c>
      <c r="G8" s="108"/>
      <c r="H8" s="56"/>
      <c r="I8" s="66">
        <f t="shared" si="0"/>
        <v>3780</v>
      </c>
      <c r="J8" s="56">
        <v>1</v>
      </c>
      <c r="K8" s="108"/>
      <c r="L8" s="60"/>
    </row>
    <row r="9" spans="1:17" ht="30">
      <c r="A9" s="107"/>
      <c r="B9" s="95"/>
      <c r="C9" s="105" t="s">
        <v>63</v>
      </c>
      <c r="D9" s="115" t="s">
        <v>64</v>
      </c>
      <c r="E9" s="113">
        <v>1</v>
      </c>
      <c r="F9" s="114">
        <v>0</v>
      </c>
      <c r="G9" s="108"/>
      <c r="H9" s="56"/>
      <c r="I9" s="66">
        <f t="shared" ref="I9:I10" si="1">(G9*$G$12+H9*$H$12+E9*$E$12+F9*$F$12)*9</f>
        <v>1260</v>
      </c>
      <c r="J9" s="56">
        <v>1</v>
      </c>
      <c r="K9" s="87"/>
      <c r="L9" s="38"/>
    </row>
    <row r="10" spans="1:17" ht="15.75">
      <c r="A10" s="55"/>
      <c r="B10" s="98"/>
      <c r="C10" s="97"/>
      <c r="D10" s="96"/>
      <c r="E10" s="92"/>
      <c r="F10" s="92"/>
      <c r="G10" s="87"/>
      <c r="H10" s="87"/>
      <c r="I10" s="110"/>
      <c r="J10" s="87"/>
      <c r="K10" s="87"/>
      <c r="L10" s="38"/>
    </row>
    <row r="11" spans="1:17" ht="15.75">
      <c r="A11" s="55"/>
      <c r="B11" s="50"/>
      <c r="C11" s="27"/>
      <c r="D11" s="27"/>
      <c r="E11" s="45">
        <f>SUM(E1:E9)</f>
        <v>16</v>
      </c>
      <c r="F11" s="45">
        <f>SUM(F1:F8)</f>
        <v>4</v>
      </c>
      <c r="G11" s="45">
        <f t="shared" ref="G11:I11" si="2">SUM(G1:G8)</f>
        <v>0</v>
      </c>
      <c r="H11" s="45">
        <f t="shared" si="2"/>
        <v>0</v>
      </c>
      <c r="I11" s="66">
        <f t="shared" si="2"/>
        <v>23220</v>
      </c>
      <c r="J11" s="36"/>
      <c r="K11" s="36"/>
      <c r="L11" s="36"/>
    </row>
    <row r="12" spans="1:17" ht="15.75">
      <c r="A12" s="61"/>
      <c r="B12" s="51"/>
      <c r="C12" s="15"/>
      <c r="D12" s="14"/>
      <c r="E12" s="99">
        <v>140</v>
      </c>
      <c r="F12" s="99">
        <v>120</v>
      </c>
      <c r="G12" s="100"/>
      <c r="H12" s="101"/>
      <c r="I12" s="52"/>
      <c r="J12" s="14"/>
      <c r="K12" s="14"/>
      <c r="L12" s="14"/>
    </row>
    <row r="13" spans="1:17" ht="15.75">
      <c r="A13" s="61"/>
      <c r="B13" s="51"/>
      <c r="C13" s="15"/>
      <c r="D13" s="14"/>
      <c r="E13" s="14"/>
      <c r="F13" s="14"/>
      <c r="G13" s="22"/>
      <c r="H13" s="22"/>
      <c r="I13" s="38"/>
      <c r="J13" s="14"/>
      <c r="K13" s="14"/>
      <c r="L13" s="14"/>
    </row>
    <row r="14" spans="1:17" ht="15.75">
      <c r="A14" s="61"/>
      <c r="B14" s="38"/>
      <c r="C14" s="14"/>
      <c r="D14" s="53"/>
      <c r="E14" s="53"/>
      <c r="F14" s="53"/>
      <c r="G14" s="54"/>
      <c r="H14" s="54"/>
      <c r="I14" s="38"/>
      <c r="J14" s="14"/>
      <c r="K14" s="14"/>
      <c r="L14" s="14"/>
    </row>
    <row r="15" spans="1:17" ht="15.75">
      <c r="A15" s="61"/>
      <c r="B15" s="38"/>
      <c r="C15" s="15"/>
      <c r="D15" s="15"/>
      <c r="E15" s="15"/>
      <c r="F15" s="15"/>
      <c r="G15" s="22"/>
      <c r="H15" s="22"/>
      <c r="I15" s="22"/>
      <c r="J15" s="14"/>
      <c r="K15" s="14" t="s">
        <v>65</v>
      </c>
      <c r="L15" s="14"/>
    </row>
    <row r="16" spans="1:17" ht="15.75">
      <c r="A16" s="61"/>
      <c r="B16" s="38"/>
      <c r="C16" s="14"/>
      <c r="D16" s="14"/>
      <c r="E16" s="14"/>
      <c r="F16" s="14"/>
      <c r="G16" s="54"/>
      <c r="H16" s="22"/>
      <c r="J16" s="14"/>
      <c r="K16" s="14"/>
      <c r="L16" s="14"/>
      <c r="Q16" s="13" t="s">
        <v>65</v>
      </c>
    </row>
    <row r="17" spans="1:24" ht="15.75">
      <c r="A17" s="61"/>
      <c r="B17" s="51"/>
      <c r="C17" s="15"/>
      <c r="D17" s="14"/>
      <c r="E17" s="14"/>
      <c r="F17" s="14"/>
      <c r="G17" s="54"/>
      <c r="H17" s="22"/>
      <c r="J17" s="14"/>
      <c r="K17" s="14"/>
      <c r="L17" s="14"/>
    </row>
    <row r="18" spans="1:24">
      <c r="A18" s="181"/>
      <c r="B18" s="18"/>
      <c r="C18" s="15"/>
      <c r="D18" s="14"/>
      <c r="E18" s="14"/>
      <c r="F18" s="14"/>
      <c r="G18" s="22"/>
      <c r="H18" s="42"/>
      <c r="J18" s="14"/>
      <c r="K18" s="14"/>
      <c r="L18" s="14"/>
      <c r="R18" s="174" t="s">
        <v>66</v>
      </c>
      <c r="S18" s="174"/>
      <c r="T18" s="174"/>
      <c r="U18" s="174"/>
      <c r="V18" s="174"/>
      <c r="W18" s="174"/>
    </row>
    <row r="19" spans="1:24" ht="15.75">
      <c r="A19" s="181"/>
      <c r="B19" s="18"/>
      <c r="C19" s="96"/>
      <c r="D19" s="14"/>
      <c r="E19" s="14"/>
      <c r="F19" s="14"/>
      <c r="G19" s="22"/>
      <c r="H19" s="22"/>
      <c r="M19" s="175" t="s">
        <v>67</v>
      </c>
      <c r="N19" s="191"/>
      <c r="O19" s="191"/>
      <c r="P19" s="191"/>
      <c r="Q19" s="1"/>
      <c r="R19" s="85" t="s">
        <v>68</v>
      </c>
      <c r="S19" s="85" t="s">
        <v>69</v>
      </c>
      <c r="T19" s="85" t="s">
        <v>70</v>
      </c>
      <c r="U19" s="85" t="s">
        <v>71</v>
      </c>
      <c r="V19" s="85" t="s">
        <v>72</v>
      </c>
      <c r="W19" s="85" t="s">
        <v>73</v>
      </c>
    </row>
    <row r="20" spans="1:24" ht="15.75">
      <c r="A20" s="181"/>
      <c r="B20" s="18"/>
      <c r="C20" s="96"/>
      <c r="D20" s="14"/>
      <c r="E20" s="14"/>
      <c r="F20" s="14"/>
      <c r="G20" s="22"/>
      <c r="H20" s="22"/>
      <c r="M20" s="39" t="s">
        <v>48</v>
      </c>
      <c r="N20" s="41">
        <v>0</v>
      </c>
      <c r="O20" s="117">
        <v>0</v>
      </c>
      <c r="P20" s="63">
        <f>N20*O20*9</f>
        <v>0</v>
      </c>
      <c r="Q20" s="1"/>
      <c r="R20" s="43" t="s">
        <v>48</v>
      </c>
      <c r="S20" s="44"/>
      <c r="T20" s="44"/>
      <c r="U20" s="44"/>
      <c r="V20" s="44"/>
      <c r="W20" s="44"/>
      <c r="X20" s="37">
        <f>SUM(S20:W20)</f>
        <v>0</v>
      </c>
    </row>
    <row r="21" spans="1:24" ht="15.75">
      <c r="A21" s="181"/>
      <c r="B21" s="18"/>
      <c r="C21" s="96"/>
      <c r="D21" s="14"/>
      <c r="E21" s="14"/>
      <c r="F21" s="14"/>
      <c r="G21" s="23"/>
      <c r="H21" s="23"/>
      <c r="M21" s="40" t="s">
        <v>49</v>
      </c>
      <c r="N21" s="41">
        <f>H11</f>
        <v>0</v>
      </c>
      <c r="O21" s="117">
        <v>0</v>
      </c>
      <c r="P21" s="63">
        <f t="shared" ref="P21:P28" si="3">N21*O21*9</f>
        <v>0</v>
      </c>
      <c r="Q21" s="1"/>
      <c r="R21" s="43" t="s">
        <v>49</v>
      </c>
      <c r="S21" s="44"/>
      <c r="T21" s="44"/>
      <c r="U21" s="44"/>
      <c r="V21" s="44"/>
      <c r="W21" s="44"/>
      <c r="X21" s="37">
        <f t="shared" ref="X21:X30" si="4">SUM(S21:W21)</f>
        <v>0</v>
      </c>
    </row>
    <row r="22" spans="1:24" ht="15.75">
      <c r="A22" s="181"/>
      <c r="B22" s="18"/>
      <c r="C22" s="104"/>
      <c r="D22" s="14"/>
      <c r="E22" s="14"/>
      <c r="F22" s="14"/>
      <c r="G22" s="23"/>
      <c r="H22" s="23"/>
      <c r="L22" s="13">
        <f>N22*9</f>
        <v>135</v>
      </c>
      <c r="M22" s="40" t="s">
        <v>46</v>
      </c>
      <c r="N22" s="41">
        <v>15</v>
      </c>
      <c r="O22" s="117">
        <f>E12</f>
        <v>140</v>
      </c>
      <c r="P22" s="63">
        <f t="shared" si="3"/>
        <v>18900</v>
      </c>
      <c r="Q22" s="1"/>
      <c r="R22" s="43" t="s">
        <v>46</v>
      </c>
      <c r="S22" s="65">
        <v>10</v>
      </c>
      <c r="T22" s="65">
        <v>5</v>
      </c>
      <c r="U22" s="44"/>
      <c r="V22" s="44"/>
      <c r="W22" s="44"/>
      <c r="X22" s="37">
        <f t="shared" si="4"/>
        <v>15</v>
      </c>
    </row>
    <row r="23" spans="1:24" ht="15.75">
      <c r="A23" s="181"/>
      <c r="B23" s="18"/>
      <c r="C23" s="94"/>
      <c r="D23" s="14"/>
      <c r="E23" s="14"/>
      <c r="F23" s="14"/>
      <c r="G23" s="22"/>
      <c r="H23" s="22"/>
      <c r="L23" s="13">
        <f t="shared" ref="L23:L30" si="5">N23*9</f>
        <v>18</v>
      </c>
      <c r="M23" s="40" t="s">
        <v>74</v>
      </c>
      <c r="N23" s="41">
        <v>2</v>
      </c>
      <c r="O23" s="117">
        <v>120</v>
      </c>
      <c r="P23" s="63">
        <f t="shared" si="3"/>
        <v>2160</v>
      </c>
      <c r="Q23" s="1"/>
      <c r="R23" s="43" t="s">
        <v>74</v>
      </c>
      <c r="S23" s="65">
        <v>2</v>
      </c>
      <c r="T23" s="65">
        <v>2</v>
      </c>
      <c r="U23" s="44"/>
      <c r="V23" s="44"/>
      <c r="W23" s="44"/>
      <c r="X23" s="37">
        <f t="shared" si="4"/>
        <v>4</v>
      </c>
    </row>
    <row r="24" spans="1:24">
      <c r="A24" s="181"/>
      <c r="B24" s="13"/>
      <c r="C24" s="14"/>
      <c r="D24" s="14"/>
      <c r="E24" s="14"/>
      <c r="F24" s="14"/>
      <c r="G24" s="22"/>
      <c r="H24" s="22"/>
      <c r="L24" s="13">
        <f t="shared" si="5"/>
        <v>0</v>
      </c>
      <c r="M24" s="40" t="s">
        <v>75</v>
      </c>
      <c r="N24" s="41"/>
      <c r="O24" s="117">
        <v>0</v>
      </c>
      <c r="P24" s="63">
        <f t="shared" si="3"/>
        <v>0</v>
      </c>
      <c r="Q24" s="1"/>
      <c r="R24" s="43" t="s">
        <v>75</v>
      </c>
      <c r="S24" s="65"/>
      <c r="T24" s="65"/>
      <c r="U24" s="44"/>
      <c r="V24" s="44"/>
      <c r="W24" s="44"/>
      <c r="X24" s="37">
        <f t="shared" si="4"/>
        <v>0</v>
      </c>
    </row>
    <row r="25" spans="1:24">
      <c r="A25" s="181"/>
      <c r="B25" s="13"/>
      <c r="C25" s="16"/>
      <c r="D25" s="14"/>
      <c r="E25" s="14"/>
      <c r="F25" s="14"/>
      <c r="G25" s="22"/>
      <c r="H25" s="22"/>
      <c r="L25" s="13">
        <f t="shared" si="5"/>
        <v>36</v>
      </c>
      <c r="M25" s="40" t="s">
        <v>76</v>
      </c>
      <c r="N25" s="41">
        <v>4</v>
      </c>
      <c r="O25" s="117">
        <v>115</v>
      </c>
      <c r="P25" s="63">
        <f>N25*O25*9</f>
        <v>4140</v>
      </c>
      <c r="Q25" s="1"/>
      <c r="R25" s="43" t="s">
        <v>76</v>
      </c>
      <c r="S25" s="65">
        <v>2</v>
      </c>
      <c r="T25" s="65">
        <v>3</v>
      </c>
      <c r="U25" s="44"/>
      <c r="V25" s="44"/>
      <c r="W25" s="44"/>
      <c r="X25" s="37">
        <f t="shared" si="4"/>
        <v>5</v>
      </c>
    </row>
    <row r="26" spans="1:24">
      <c r="A26" s="181"/>
      <c r="B26" s="19"/>
      <c r="C26" s="14"/>
      <c r="D26" s="14"/>
      <c r="E26" s="14"/>
      <c r="F26" s="14"/>
      <c r="I26" s="22"/>
      <c r="L26" s="13">
        <f t="shared" si="5"/>
        <v>9</v>
      </c>
      <c r="M26" s="40" t="s">
        <v>77</v>
      </c>
      <c r="N26" s="41">
        <v>1</v>
      </c>
      <c r="O26" s="117">
        <v>115</v>
      </c>
      <c r="P26" s="63">
        <f t="shared" si="3"/>
        <v>1035</v>
      </c>
      <c r="Q26" s="1"/>
      <c r="R26" s="43" t="s">
        <v>77</v>
      </c>
      <c r="S26" s="65">
        <v>0.5</v>
      </c>
      <c r="T26" s="65">
        <v>0.5</v>
      </c>
      <c r="U26" s="44"/>
      <c r="V26" s="44"/>
      <c r="W26" s="44"/>
      <c r="X26" s="37">
        <f t="shared" si="4"/>
        <v>1</v>
      </c>
    </row>
    <row r="27" spans="1:24">
      <c r="A27" s="181"/>
      <c r="B27" s="18"/>
      <c r="C27" s="14"/>
      <c r="D27" s="14"/>
      <c r="E27" s="14"/>
      <c r="F27" s="14"/>
      <c r="L27" s="13">
        <f t="shared" si="5"/>
        <v>0</v>
      </c>
      <c r="M27" s="40" t="s">
        <v>78</v>
      </c>
      <c r="N27" s="41"/>
      <c r="O27" s="117"/>
      <c r="P27" s="63">
        <f t="shared" si="3"/>
        <v>0</v>
      </c>
      <c r="Q27" s="1"/>
      <c r="R27" s="43" t="s">
        <v>78</v>
      </c>
      <c r="S27" s="65"/>
      <c r="T27" s="65"/>
      <c r="U27" s="44"/>
      <c r="V27" s="44"/>
      <c r="W27" s="44"/>
      <c r="X27" s="37">
        <f t="shared" si="4"/>
        <v>0</v>
      </c>
    </row>
    <row r="28" spans="1:24">
      <c r="A28" s="181"/>
      <c r="B28" s="18"/>
      <c r="C28" s="14"/>
      <c r="D28" s="14"/>
      <c r="E28" s="14"/>
      <c r="F28" s="14"/>
      <c r="L28" s="13">
        <f t="shared" si="5"/>
        <v>9</v>
      </c>
      <c r="M28" s="40" t="s">
        <v>79</v>
      </c>
      <c r="N28" s="41">
        <v>1</v>
      </c>
      <c r="O28" s="117">
        <v>165</v>
      </c>
      <c r="P28" s="63">
        <f t="shared" si="3"/>
        <v>1485</v>
      </c>
      <c r="Q28" s="1"/>
      <c r="R28" s="43" t="s">
        <v>79</v>
      </c>
      <c r="S28" s="65">
        <v>1</v>
      </c>
      <c r="T28" s="65">
        <v>1</v>
      </c>
      <c r="U28" s="44"/>
      <c r="V28" s="44"/>
      <c r="W28" s="44"/>
      <c r="X28" s="37">
        <f t="shared" si="4"/>
        <v>2</v>
      </c>
    </row>
    <row r="29" spans="1:24" ht="15.75">
      <c r="A29" s="62"/>
      <c r="B29" s="18"/>
      <c r="C29" s="14"/>
      <c r="D29" s="14"/>
      <c r="E29" s="14"/>
      <c r="F29" s="14"/>
      <c r="L29" s="13">
        <f t="shared" si="5"/>
        <v>0</v>
      </c>
      <c r="M29" s="40" t="s">
        <v>80</v>
      </c>
      <c r="N29" s="41"/>
      <c r="O29" s="117">
        <v>0</v>
      </c>
      <c r="P29" s="63">
        <f>N29*O29*9</f>
        <v>0</v>
      </c>
      <c r="Q29" s="1"/>
      <c r="R29" s="43" t="s">
        <v>80</v>
      </c>
      <c r="S29" s="44"/>
      <c r="T29" s="44"/>
      <c r="U29" s="44"/>
      <c r="V29" s="44"/>
      <c r="W29" s="44"/>
      <c r="X29" s="37">
        <f t="shared" si="4"/>
        <v>0</v>
      </c>
    </row>
    <row r="30" spans="1:24">
      <c r="A30" s="178"/>
      <c r="B30" s="18"/>
      <c r="C30" s="14"/>
      <c r="D30" s="14"/>
      <c r="E30" s="14"/>
      <c r="F30" s="14"/>
      <c r="L30" s="13">
        <f t="shared" si="5"/>
        <v>0</v>
      </c>
      <c r="M30" s="40" t="s">
        <v>81</v>
      </c>
      <c r="N30" s="41"/>
      <c r="O30" s="117">
        <v>0</v>
      </c>
      <c r="P30" s="63">
        <f t="shared" ref="P30" si="6">N30*O30*9</f>
        <v>0</v>
      </c>
      <c r="Q30" s="1"/>
      <c r="R30" s="43" t="s">
        <v>81</v>
      </c>
      <c r="S30" s="37"/>
      <c r="T30" s="37"/>
      <c r="U30" s="37"/>
      <c r="V30" s="37"/>
      <c r="W30" s="37"/>
      <c r="X30" s="37">
        <f t="shared" si="4"/>
        <v>0</v>
      </c>
    </row>
    <row r="31" spans="1:24">
      <c r="A31" s="178"/>
      <c r="B31" s="18"/>
      <c r="C31" s="14"/>
      <c r="D31" s="14"/>
      <c r="E31" s="14"/>
      <c r="F31" s="14"/>
      <c r="N31" s="67">
        <f>SUM(N20:N30)</f>
        <v>23</v>
      </c>
      <c r="P31" s="64">
        <f>SUM(P20:P30)</f>
        <v>27720</v>
      </c>
      <c r="Q31" s="1"/>
      <c r="R31" s="4"/>
      <c r="X31" s="13">
        <f>SUM(X20:X30)</f>
        <v>27</v>
      </c>
    </row>
    <row r="32" spans="1:24">
      <c r="A32" s="178"/>
      <c r="B32" s="18"/>
      <c r="C32" s="14"/>
      <c r="D32" s="14"/>
      <c r="E32" s="14"/>
      <c r="F32" s="14"/>
      <c r="J32" s="1"/>
      <c r="K32" s="1"/>
      <c r="L32" s="1"/>
      <c r="P32" s="6"/>
    </row>
    <row r="33" spans="1:21">
      <c r="A33" s="178"/>
      <c r="B33" s="13"/>
      <c r="P33" s="1"/>
      <c r="R33" s="6"/>
    </row>
    <row r="34" spans="1:21">
      <c r="A34" s="4"/>
      <c r="N34" s="67"/>
      <c r="P34" s="64"/>
    </row>
    <row r="35" spans="1:21" ht="12.75">
      <c r="A35"/>
      <c r="L35" s="137"/>
      <c r="M35" s="137"/>
      <c r="N35" s="137"/>
      <c r="O35" s="137"/>
      <c r="P35" s="138"/>
      <c r="Q35" s="137"/>
      <c r="R35" s="137"/>
      <c r="S35" s="137"/>
    </row>
    <row r="36" spans="1:21" ht="12.75">
      <c r="A36"/>
      <c r="L36" s="137"/>
      <c r="M36" s="137"/>
      <c r="N36" s="137"/>
      <c r="O36" s="137"/>
      <c r="P36" s="137"/>
      <c r="Q36" s="137"/>
      <c r="R36" s="137"/>
      <c r="S36" s="137"/>
    </row>
    <row r="38" spans="1:21" ht="20.25">
      <c r="L38" s="139" t="s">
        <v>82</v>
      </c>
      <c r="M38"/>
      <c r="N38"/>
      <c r="O38"/>
      <c r="P38"/>
      <c r="Q38"/>
      <c r="R38"/>
      <c r="S38"/>
      <c r="T38"/>
      <c r="U38"/>
    </row>
    <row r="39" spans="1:21" ht="51">
      <c r="L39" s="166" t="s">
        <v>83</v>
      </c>
      <c r="M39"/>
      <c r="N39"/>
      <c r="O39"/>
      <c r="P39"/>
      <c r="Q39"/>
      <c r="R39"/>
      <c r="S39"/>
      <c r="T39"/>
      <c r="U39"/>
    </row>
    <row r="40" spans="1:21" ht="38.25">
      <c r="L40" s="166" t="s">
        <v>84</v>
      </c>
      <c r="M40"/>
      <c r="N40"/>
      <c r="O40"/>
      <c r="P40"/>
      <c r="Q40"/>
      <c r="R40"/>
      <c r="S40"/>
      <c r="T40"/>
      <c r="U40"/>
    </row>
    <row r="41" spans="1:21" ht="38.25">
      <c r="L41" s="166" t="s">
        <v>85</v>
      </c>
      <c r="M41"/>
      <c r="N41"/>
      <c r="O41"/>
      <c r="P41"/>
      <c r="Q41"/>
      <c r="R41"/>
      <c r="S41"/>
      <c r="T41"/>
      <c r="U41"/>
    </row>
    <row r="42" spans="1:21">
      <c r="A42" s="49"/>
      <c r="L42" s="142" t="s">
        <v>86</v>
      </c>
      <c r="M42" s="143" t="s">
        <v>87</v>
      </c>
      <c r="N42" s="143" t="s">
        <v>88</v>
      </c>
      <c r="O42" s="143" t="s">
        <v>89</v>
      </c>
      <c r="P42" s="143" t="s">
        <v>90</v>
      </c>
      <c r="Q42" s="143" t="s">
        <v>91</v>
      </c>
      <c r="R42" s="143" t="s">
        <v>92</v>
      </c>
      <c r="S42" s="143" t="s">
        <v>93</v>
      </c>
      <c r="T42" s="143" t="s">
        <v>94</v>
      </c>
      <c r="U42" s="144" t="s">
        <v>95</v>
      </c>
    </row>
    <row r="43" spans="1:21">
      <c r="L43" s="145" t="s">
        <v>96</v>
      </c>
      <c r="M43" s="146" t="s">
        <v>97</v>
      </c>
      <c r="N43" s="147">
        <v>125</v>
      </c>
      <c r="O43" s="147">
        <v>125</v>
      </c>
      <c r="P43" s="147">
        <v>112.5</v>
      </c>
      <c r="Q43" s="147">
        <v>112.5</v>
      </c>
      <c r="R43" s="146">
        <v>37.5</v>
      </c>
      <c r="S43" s="146">
        <v>37.5</v>
      </c>
      <c r="T43" s="147">
        <v>4687.5</v>
      </c>
      <c r="U43" s="148" t="s">
        <v>98</v>
      </c>
    </row>
    <row r="44" spans="1:21" ht="12.75">
      <c r="A44"/>
      <c r="L44" s="149" t="s">
        <v>99</v>
      </c>
      <c r="M44" s="150" t="s">
        <v>100</v>
      </c>
      <c r="N44" s="151">
        <v>125</v>
      </c>
      <c r="O44" s="151">
        <v>125</v>
      </c>
      <c r="P44" s="151">
        <v>112.5</v>
      </c>
      <c r="Q44" s="151">
        <v>112.5</v>
      </c>
      <c r="R44" s="167">
        <v>23.5</v>
      </c>
      <c r="S44" s="150">
        <v>23.5</v>
      </c>
      <c r="T44" s="151">
        <v>2937.5</v>
      </c>
      <c r="U44" s="152" t="s">
        <v>101</v>
      </c>
    </row>
    <row r="45" spans="1:21">
      <c r="L45" s="153" t="s">
        <v>102</v>
      </c>
      <c r="M45" s="154" t="s">
        <v>100</v>
      </c>
      <c r="N45" s="155">
        <v>125</v>
      </c>
      <c r="O45" s="155">
        <v>125</v>
      </c>
      <c r="P45" s="155">
        <v>112.5</v>
      </c>
      <c r="Q45" s="155">
        <v>112.5</v>
      </c>
      <c r="R45" s="169">
        <v>71.5</v>
      </c>
      <c r="S45" s="154">
        <v>71.5</v>
      </c>
      <c r="T45" s="155">
        <v>8937.5</v>
      </c>
      <c r="U45" s="156" t="s">
        <v>103</v>
      </c>
    </row>
    <row r="46" spans="1:21">
      <c r="L46" s="149" t="s">
        <v>104</v>
      </c>
      <c r="M46" s="150" t="s">
        <v>105</v>
      </c>
      <c r="N46" s="151">
        <v>160</v>
      </c>
      <c r="O46" s="151">
        <v>160</v>
      </c>
      <c r="P46" s="151">
        <v>144</v>
      </c>
      <c r="Q46" s="151">
        <v>144</v>
      </c>
      <c r="R46" s="150">
        <v>17</v>
      </c>
      <c r="S46" s="150">
        <v>17</v>
      </c>
      <c r="T46" s="151">
        <v>2720</v>
      </c>
      <c r="U46" s="152" t="s">
        <v>106</v>
      </c>
    </row>
    <row r="47" spans="1:21">
      <c r="L47" s="153" t="s">
        <v>107</v>
      </c>
      <c r="M47" s="154"/>
      <c r="N47" s="155">
        <v>160</v>
      </c>
      <c r="O47" s="155">
        <v>160</v>
      </c>
      <c r="P47" s="155">
        <v>144</v>
      </c>
      <c r="Q47" s="155">
        <v>144</v>
      </c>
      <c r="R47" s="154">
        <v>25</v>
      </c>
      <c r="S47" s="154">
        <v>25</v>
      </c>
      <c r="T47" s="155">
        <v>4000</v>
      </c>
      <c r="U47" s="156" t="s">
        <v>108</v>
      </c>
    </row>
    <row r="48" spans="1:21">
      <c r="L48" s="149" t="s">
        <v>109</v>
      </c>
      <c r="M48" s="150"/>
      <c r="N48" s="151">
        <v>125</v>
      </c>
      <c r="O48" s="151">
        <v>125</v>
      </c>
      <c r="P48" s="151">
        <v>112.5</v>
      </c>
      <c r="Q48" s="151">
        <v>112.5</v>
      </c>
      <c r="R48" s="168">
        <v>6.5</v>
      </c>
      <c r="S48" s="150">
        <v>6.5</v>
      </c>
      <c r="T48" s="151">
        <v>812.5</v>
      </c>
      <c r="U48" s="152" t="s">
        <v>110</v>
      </c>
    </row>
    <row r="49" spans="12:21">
      <c r="L49" s="145" t="s">
        <v>111</v>
      </c>
      <c r="M49" s="146"/>
      <c r="N49" s="147">
        <v>120</v>
      </c>
      <c r="O49" s="147">
        <v>120</v>
      </c>
      <c r="P49" s="147">
        <v>108</v>
      </c>
      <c r="Q49" s="147">
        <v>108</v>
      </c>
      <c r="R49" s="146">
        <v>41.5</v>
      </c>
      <c r="S49" s="146">
        <v>41.5</v>
      </c>
      <c r="T49" s="147">
        <v>4980</v>
      </c>
      <c r="U49" s="148" t="s">
        <v>112</v>
      </c>
    </row>
    <row r="50" spans="12:21" ht="23.25">
      <c r="L50" s="140"/>
      <c r="M50"/>
      <c r="N50"/>
      <c r="O50"/>
      <c r="P50"/>
      <c r="Q50"/>
      <c r="R50"/>
      <c r="S50"/>
      <c r="T50"/>
      <c r="U50"/>
    </row>
    <row r="51" spans="12:21">
      <c r="L51" s="141"/>
      <c r="M51"/>
      <c r="N51"/>
      <c r="O51"/>
      <c r="P51"/>
      <c r="Q51"/>
      <c r="R51"/>
      <c r="S51"/>
      <c r="T51"/>
      <c r="U51"/>
    </row>
    <row r="52" spans="12:21">
      <c r="L52" s="141"/>
      <c r="M52"/>
      <c r="N52"/>
      <c r="O52"/>
      <c r="P52"/>
      <c r="Q52" t="s">
        <v>82</v>
      </c>
      <c r="R52"/>
      <c r="S52"/>
      <c r="T52"/>
      <c r="U52"/>
    </row>
    <row r="53" spans="12:21">
      <c r="L53" s="157"/>
      <c r="M53" s="158"/>
      <c r="N53" s="158"/>
      <c r="O53" s="158"/>
      <c r="P53" s="158"/>
      <c r="Q53" s="158"/>
      <c r="R53" s="158"/>
      <c r="S53" s="158"/>
      <c r="T53" s="158"/>
      <c r="U53" s="159"/>
    </row>
    <row r="55" spans="12:21">
      <c r="L55" s="160"/>
      <c r="M55" s="161"/>
      <c r="N55" s="161"/>
      <c r="O55" s="161"/>
      <c r="P55" s="161"/>
      <c r="Q55" s="161"/>
      <c r="R55" s="161"/>
      <c r="S55" s="161"/>
      <c r="T55" s="162"/>
      <c r="U55" s="163"/>
    </row>
    <row r="56" spans="12:21">
      <c r="L56" s="164"/>
      <c r="M56"/>
      <c r="N56"/>
      <c r="O56"/>
      <c r="P56"/>
      <c r="Q56"/>
      <c r="R56"/>
      <c r="S56"/>
      <c r="T56"/>
      <c r="U56"/>
    </row>
    <row r="57" spans="12:21">
      <c r="L57" s="164"/>
      <c r="M57"/>
      <c r="N57"/>
      <c r="O57"/>
      <c r="P57"/>
      <c r="Q57"/>
      <c r="R57"/>
      <c r="S57"/>
      <c r="T57"/>
      <c r="U57"/>
    </row>
    <row r="58" spans="12:21">
      <c r="L58" s="165"/>
      <c r="M58"/>
      <c r="N58"/>
      <c r="O58"/>
      <c r="P58"/>
      <c r="Q58"/>
      <c r="R58"/>
      <c r="S58"/>
      <c r="T58"/>
      <c r="U58"/>
    </row>
    <row r="59" spans="12:21">
      <c r="L59" s="141"/>
      <c r="M59"/>
      <c r="N59"/>
      <c r="O59"/>
      <c r="P59"/>
      <c r="Q59"/>
      <c r="R59"/>
      <c r="S59"/>
      <c r="T59"/>
      <c r="U59"/>
    </row>
  </sheetData>
  <mergeCells count="13">
    <mergeCell ref="A30:A33"/>
    <mergeCell ref="A1:A2"/>
    <mergeCell ref="A18:A28"/>
    <mergeCell ref="E1:H1"/>
    <mergeCell ref="B1:B2"/>
    <mergeCell ref="C1:C2"/>
    <mergeCell ref="K1:K2"/>
    <mergeCell ref="D1:D2"/>
    <mergeCell ref="R18:W18"/>
    <mergeCell ref="M19:P19"/>
    <mergeCell ref="I1:I2"/>
    <mergeCell ref="J1:J2"/>
    <mergeCell ref="L1:L2"/>
  </mergeCells>
  <phoneticPr fontId="12" type="noConversion"/>
  <conditionalFormatting sqref="I3:I11">
    <cfRule type="notContainsBlanks" dxfId="1" priority="4">
      <formula>LEN(TRIM(I3))&gt;0</formula>
    </cfRule>
  </conditionalFormatting>
  <conditionalFormatting sqref="P31:P34">
    <cfRule type="notContainsBlanks" dxfId="0" priority="1">
      <formula>LEN(TRIM(P31))&gt;0</formula>
    </cfRule>
  </conditionalFormatting>
  <hyperlinks>
    <hyperlink ref="L43" r:id="rId1" xr:uid="{E291BAE3-DCA2-4AEB-9EE1-FF09FC8E2402}"/>
    <hyperlink ref="L44" r:id="rId2" xr:uid="{4B3B8918-59E2-4C6B-9208-4F861C860942}"/>
    <hyperlink ref="L45" r:id="rId3" xr:uid="{EFC08293-7D6C-412A-9ECF-98376FBB10F3}"/>
    <hyperlink ref="L46" r:id="rId4" xr:uid="{64757DA9-1D00-4639-A363-587B0EE070EE}"/>
    <hyperlink ref="L47" r:id="rId5" xr:uid="{A64A479F-EDDE-4C6A-B505-D5495DB465FB}"/>
    <hyperlink ref="L48" r:id="rId6" xr:uid="{E29E07D1-17B5-4E6A-A99A-CF7DDA330044}"/>
    <hyperlink ref="L49" r:id="rId7" xr:uid="{1A4CEFDB-FE47-41A6-BA4F-D9ED1A4DD0BF}"/>
  </hyperlinks>
  <pageMargins left="0.7" right="0.7" top="0.75" bottom="0.75" header="0.3" footer="0.3"/>
  <pageSetup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0A7CF-E9C4-D84C-871B-118E0E72DB6E}">
  <dimension ref="A1:E26"/>
  <sheetViews>
    <sheetView topLeftCell="A7" workbookViewId="0">
      <selection activeCell="A17" sqref="A17:A18"/>
    </sheetView>
  </sheetViews>
  <sheetFormatPr defaultColWidth="11.42578125" defaultRowHeight="12.6"/>
  <cols>
    <col min="5" max="5" width="47.85546875" customWidth="1"/>
  </cols>
  <sheetData>
    <row r="1" spans="1:5" ht="14.45">
      <c r="A1" s="187"/>
      <c r="B1" s="187"/>
      <c r="C1" s="187"/>
    </row>
    <row r="2" spans="1:5" ht="29.1">
      <c r="A2" s="70" t="s">
        <v>113</v>
      </c>
      <c r="B2" s="70" t="s">
        <v>114</v>
      </c>
      <c r="C2" s="71" t="s">
        <v>115</v>
      </c>
    </row>
    <row r="3" spans="1:5" ht="14.45">
      <c r="A3" s="72"/>
      <c r="B3" s="72">
        <f>A3*12</f>
        <v>0</v>
      </c>
      <c r="C3" s="73" t="s">
        <v>116</v>
      </c>
    </row>
    <row r="4" spans="1:5" ht="14.45">
      <c r="A4" s="74"/>
      <c r="B4" s="75" t="s">
        <v>117</v>
      </c>
      <c r="C4" s="74"/>
    </row>
    <row r="5" spans="1:5">
      <c r="A5" s="76"/>
    </row>
    <row r="6" spans="1:5" ht="26.1">
      <c r="A6" s="77" t="s">
        <v>118</v>
      </c>
      <c r="B6" s="77" t="s">
        <v>119</v>
      </c>
      <c r="C6" s="78" t="s">
        <v>40</v>
      </c>
      <c r="D6" s="77" t="s">
        <v>120</v>
      </c>
      <c r="E6" s="77" t="s">
        <v>121</v>
      </c>
    </row>
    <row r="7" spans="1:5" ht="97.5" customHeight="1">
      <c r="A7" s="188"/>
      <c r="B7" s="82"/>
      <c r="C7" s="83"/>
      <c r="D7" s="81"/>
      <c r="E7" s="83"/>
    </row>
    <row r="8" spans="1:5" ht="14.1">
      <c r="A8" s="188"/>
      <c r="B8" s="82"/>
      <c r="C8" s="83"/>
      <c r="D8" s="81"/>
      <c r="E8" s="83"/>
    </row>
    <row r="9" spans="1:5" ht="85.5" customHeight="1">
      <c r="A9" s="188"/>
      <c r="B9" s="82"/>
      <c r="C9" s="83"/>
      <c r="D9" s="81"/>
      <c r="E9" s="83"/>
    </row>
    <row r="10" spans="1:5" ht="14.1">
      <c r="A10" s="188"/>
      <c r="B10" s="82"/>
      <c r="C10" s="83"/>
      <c r="D10" s="81"/>
      <c r="E10" s="83"/>
    </row>
    <row r="11" spans="1:5" ht="78.75" customHeight="1">
      <c r="A11" s="188"/>
      <c r="B11" s="82"/>
      <c r="C11" s="83"/>
      <c r="D11" s="81"/>
      <c r="E11" s="83"/>
    </row>
    <row r="12" spans="1:5" ht="14.1">
      <c r="A12" s="188"/>
      <c r="B12" s="82"/>
      <c r="C12" s="83"/>
      <c r="D12" s="81"/>
      <c r="E12" s="83"/>
    </row>
    <row r="13" spans="1:5" ht="14.1">
      <c r="A13" s="188"/>
      <c r="B13" s="82"/>
      <c r="C13" s="83"/>
      <c r="D13" s="81"/>
      <c r="E13" s="83"/>
    </row>
    <row r="14" spans="1:5" ht="14.1">
      <c r="A14" s="188"/>
      <c r="B14" s="82"/>
      <c r="C14" s="83"/>
      <c r="D14" s="81"/>
      <c r="E14" s="83"/>
    </row>
    <row r="15" spans="1:5" ht="14.1">
      <c r="A15" s="186"/>
      <c r="B15" s="82"/>
      <c r="C15" s="83"/>
      <c r="D15" s="81"/>
      <c r="E15" s="83"/>
    </row>
    <row r="16" spans="1:5" ht="14.1">
      <c r="A16" s="186"/>
      <c r="B16" s="82"/>
      <c r="C16" s="83"/>
      <c r="D16" s="81"/>
      <c r="E16" s="83"/>
    </row>
    <row r="17" spans="1:5" ht="14.1">
      <c r="A17" s="186"/>
      <c r="B17" s="82"/>
      <c r="C17" s="83"/>
      <c r="D17" s="81"/>
      <c r="E17" s="83"/>
    </row>
    <row r="18" spans="1:5" ht="14.1">
      <c r="A18" s="186"/>
      <c r="B18" s="82"/>
      <c r="C18" s="83"/>
      <c r="D18" s="81"/>
      <c r="E18" s="83"/>
    </row>
    <row r="19" spans="1:5" ht="14.1">
      <c r="A19" s="186"/>
      <c r="B19" s="82"/>
      <c r="C19" s="83"/>
      <c r="D19" s="81"/>
      <c r="E19" s="83"/>
    </row>
    <row r="20" spans="1:5" ht="14.1">
      <c r="A20" s="186"/>
      <c r="B20" s="82"/>
      <c r="C20" s="83"/>
      <c r="D20" s="81"/>
      <c r="E20" s="83"/>
    </row>
    <row r="21" spans="1:5" ht="14.1">
      <c r="A21" s="186"/>
      <c r="B21" s="82"/>
      <c r="C21" s="83"/>
      <c r="D21" s="81"/>
      <c r="E21" s="83"/>
    </row>
    <row r="22" spans="1:5" ht="14.1">
      <c r="A22" s="186"/>
      <c r="B22" s="82"/>
      <c r="C22" s="83"/>
      <c r="D22" s="81"/>
      <c r="E22" s="83"/>
    </row>
    <row r="23" spans="1:5">
      <c r="B23" s="79"/>
    </row>
    <row r="24" spans="1:5">
      <c r="B24" s="79"/>
    </row>
    <row r="25" spans="1:5">
      <c r="B25" s="79"/>
    </row>
    <row r="26" spans="1:5" ht="12.95">
      <c r="B26" s="80">
        <f>SUM(B7:B22)</f>
        <v>0</v>
      </c>
    </row>
  </sheetData>
  <mergeCells count="9">
    <mergeCell ref="A17:A18"/>
    <mergeCell ref="A19:A20"/>
    <mergeCell ref="A21:A22"/>
    <mergeCell ref="A1:C1"/>
    <mergeCell ref="A7:A8"/>
    <mergeCell ref="A9:A10"/>
    <mergeCell ref="A11:A12"/>
    <mergeCell ref="A13:A14"/>
    <mergeCell ref="A15:A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47"/>
  <sheetViews>
    <sheetView topLeftCell="A3" workbookViewId="0">
      <selection activeCell="C10" sqref="C10"/>
    </sheetView>
  </sheetViews>
  <sheetFormatPr defaultColWidth="14.42578125" defaultRowHeight="12.6"/>
  <cols>
    <col min="1" max="1" width="14.28515625" bestFit="1" customWidth="1"/>
    <col min="2" max="2" width="32.7109375" bestFit="1" customWidth="1"/>
    <col min="3" max="3" width="35" style="21" customWidth="1"/>
    <col min="4" max="4" width="31.28515625" hidden="1" customWidth="1"/>
    <col min="5" max="6" width="0" hidden="1" customWidth="1"/>
  </cols>
  <sheetData>
    <row r="1" spans="1:6">
      <c r="A1" s="189" t="s">
        <v>122</v>
      </c>
      <c r="B1" s="192"/>
      <c r="C1" s="192"/>
      <c r="D1" s="192"/>
      <c r="E1" s="192"/>
      <c r="F1" s="192"/>
    </row>
    <row r="2" spans="1:6">
      <c r="A2" s="192"/>
      <c r="B2" s="193"/>
      <c r="C2" s="193"/>
      <c r="D2" s="193"/>
      <c r="E2" s="193"/>
      <c r="F2" s="193"/>
    </row>
    <row r="3" spans="1:6" ht="15.75" customHeight="1">
      <c r="A3" s="34" t="s">
        <v>123</v>
      </c>
      <c r="B3" s="34" t="s">
        <v>124</v>
      </c>
      <c r="C3" s="34" t="s">
        <v>125</v>
      </c>
      <c r="D3" s="34" t="s">
        <v>40</v>
      </c>
      <c r="E3" s="34" t="s">
        <v>126</v>
      </c>
      <c r="F3" s="34" t="s">
        <v>127</v>
      </c>
    </row>
    <row r="4" spans="1:6" ht="14.45">
      <c r="A4" s="190" t="s">
        <v>128</v>
      </c>
      <c r="B4" s="35" t="s">
        <v>129</v>
      </c>
      <c r="C4" s="26" t="s">
        <v>130</v>
      </c>
      <c r="D4" s="25"/>
      <c r="E4" s="32"/>
      <c r="F4" s="25"/>
    </row>
    <row r="5" spans="1:6" ht="14.45">
      <c r="A5" s="190"/>
      <c r="B5" s="35" t="s">
        <v>131</v>
      </c>
      <c r="C5" s="26" t="s">
        <v>27</v>
      </c>
      <c r="D5" s="25"/>
      <c r="E5" s="32"/>
      <c r="F5" s="25"/>
    </row>
    <row r="6" spans="1:6" ht="14.45">
      <c r="A6" s="190"/>
      <c r="B6" s="35" t="s">
        <v>132</v>
      </c>
      <c r="C6" s="26" t="s">
        <v>27</v>
      </c>
      <c r="D6" s="25"/>
      <c r="E6" s="32"/>
      <c r="F6" s="25"/>
    </row>
    <row r="7" spans="1:6" ht="14.45">
      <c r="A7" s="190"/>
      <c r="B7" s="35" t="s">
        <v>133</v>
      </c>
      <c r="C7" s="26" t="s">
        <v>27</v>
      </c>
      <c r="D7" s="25"/>
      <c r="E7" s="32"/>
      <c r="F7" s="25"/>
    </row>
    <row r="8" spans="1:6" ht="14.45">
      <c r="A8" s="35" t="s">
        <v>134</v>
      </c>
      <c r="B8" s="35" t="s">
        <v>134</v>
      </c>
      <c r="C8" s="26" t="s">
        <v>135</v>
      </c>
      <c r="D8" s="25"/>
      <c r="E8" s="32"/>
      <c r="F8" s="25"/>
    </row>
    <row r="9" spans="1:6" ht="14.45">
      <c r="A9" s="35" t="s">
        <v>136</v>
      </c>
      <c r="B9" s="35" t="s">
        <v>136</v>
      </c>
      <c r="C9" s="26" t="s">
        <v>27</v>
      </c>
      <c r="D9" s="25"/>
      <c r="E9" s="32"/>
      <c r="F9" s="25"/>
    </row>
    <row r="10" spans="1:6" ht="14.45">
      <c r="A10" s="35" t="s">
        <v>137</v>
      </c>
      <c r="B10" s="35" t="s">
        <v>138</v>
      </c>
      <c r="C10" s="26"/>
      <c r="D10" s="25"/>
      <c r="E10" s="32"/>
      <c r="F10" s="25"/>
    </row>
    <row r="11" spans="1:6" ht="14.45">
      <c r="A11" s="190" t="s">
        <v>139</v>
      </c>
      <c r="B11" s="35" t="s">
        <v>140</v>
      </c>
      <c r="C11" s="26"/>
      <c r="D11" s="25"/>
      <c r="E11" s="32"/>
      <c r="F11" s="25"/>
    </row>
    <row r="12" spans="1:6" ht="14.45">
      <c r="A12" s="190"/>
      <c r="B12" s="35" t="s">
        <v>141</v>
      </c>
      <c r="C12" s="26"/>
      <c r="D12" s="25"/>
      <c r="E12" s="32"/>
      <c r="F12" s="25"/>
    </row>
    <row r="13" spans="1:6" ht="14.45">
      <c r="A13" s="35" t="s">
        <v>142</v>
      </c>
      <c r="B13" s="35" t="s">
        <v>142</v>
      </c>
      <c r="C13" s="26"/>
      <c r="D13" s="25"/>
      <c r="E13" s="32"/>
      <c r="F13" s="25"/>
    </row>
    <row r="14" spans="1:6" ht="14.45">
      <c r="A14" s="25" t="s">
        <v>143</v>
      </c>
      <c r="B14" s="35" t="s">
        <v>144</v>
      </c>
      <c r="C14" s="26"/>
      <c r="D14" s="25"/>
      <c r="E14" s="32"/>
      <c r="F14" s="25"/>
    </row>
    <row r="15" spans="1:6" ht="14.45">
      <c r="A15" s="35" t="s">
        <v>145</v>
      </c>
      <c r="B15" s="35" t="s">
        <v>145</v>
      </c>
      <c r="C15" s="26"/>
      <c r="D15" s="25"/>
      <c r="E15" s="32"/>
      <c r="F15" s="25"/>
    </row>
    <row r="16" spans="1:6" ht="14.45">
      <c r="A16" s="35" t="s">
        <v>146</v>
      </c>
      <c r="B16" s="35" t="s">
        <v>146</v>
      </c>
      <c r="C16" s="26"/>
      <c r="D16" s="25"/>
      <c r="E16" s="32"/>
      <c r="F16" s="25"/>
    </row>
    <row r="17" spans="1:6" ht="14.45">
      <c r="A17" s="35" t="s">
        <v>147</v>
      </c>
      <c r="B17" s="35" t="s">
        <v>147</v>
      </c>
      <c r="C17" s="26"/>
      <c r="D17" s="25"/>
      <c r="E17" s="32"/>
      <c r="F17" s="25"/>
    </row>
    <row r="18" spans="1:6" ht="14.45">
      <c r="A18" s="25" t="s">
        <v>145</v>
      </c>
      <c r="B18" s="35" t="s">
        <v>148</v>
      </c>
      <c r="C18" s="26"/>
      <c r="D18" s="25" t="s">
        <v>149</v>
      </c>
      <c r="E18" s="32"/>
      <c r="F18" s="25"/>
    </row>
    <row r="19" spans="1:6" ht="14.45">
      <c r="A19" s="9"/>
      <c r="B19" s="2"/>
      <c r="C19" s="33"/>
      <c r="D19" s="3"/>
      <c r="E19" s="5"/>
      <c r="F19" s="3"/>
    </row>
    <row r="20" spans="1:6" ht="14.45">
      <c r="A20" s="9"/>
      <c r="B20" s="5"/>
      <c r="C20" s="28"/>
      <c r="D20" s="3"/>
      <c r="E20" s="5"/>
      <c r="F20" s="3"/>
    </row>
    <row r="21" spans="1:6" ht="14.45">
      <c r="A21" s="9"/>
      <c r="B21" s="5"/>
      <c r="C21" s="28"/>
      <c r="D21" s="3"/>
      <c r="E21" s="5"/>
      <c r="F21" s="3"/>
    </row>
    <row r="22" spans="1:6" ht="14.45">
      <c r="A22" s="9"/>
      <c r="B22" s="5"/>
      <c r="C22" s="28"/>
      <c r="D22" s="3"/>
      <c r="E22" s="5"/>
      <c r="F22" s="3"/>
    </row>
    <row r="23" spans="1:6" ht="14.45">
      <c r="A23" s="9"/>
      <c r="B23" s="5"/>
      <c r="C23" s="28"/>
      <c r="D23" s="3"/>
      <c r="E23" s="5"/>
      <c r="F23" s="3"/>
    </row>
    <row r="24" spans="1:6" ht="14.45">
      <c r="A24" s="9"/>
      <c r="B24" s="5"/>
      <c r="C24" s="28"/>
      <c r="D24" s="3"/>
      <c r="E24" s="5"/>
      <c r="F24" s="3"/>
    </row>
    <row r="25" spans="1:6" ht="14.45">
      <c r="A25" s="9"/>
      <c r="B25" s="5"/>
      <c r="C25" s="28"/>
      <c r="D25" s="3"/>
      <c r="E25" s="5"/>
      <c r="F25" s="3"/>
    </row>
    <row r="26" spans="1:6" ht="14.45">
      <c r="A26" s="9"/>
      <c r="B26" s="5"/>
      <c r="C26" s="28"/>
      <c r="D26" s="3"/>
      <c r="E26" s="5"/>
      <c r="F26" s="3"/>
    </row>
    <row r="27" spans="1:6" ht="14.45">
      <c r="A27" s="9"/>
      <c r="B27" s="5"/>
      <c r="C27" s="28"/>
      <c r="D27" s="3"/>
      <c r="E27" s="5"/>
      <c r="F27" s="3"/>
    </row>
    <row r="28" spans="1:6" ht="14.45">
      <c r="A28" s="9"/>
      <c r="B28" s="10"/>
      <c r="C28" s="29"/>
      <c r="D28" s="11"/>
      <c r="E28" s="10"/>
      <c r="F28" s="11"/>
    </row>
    <row r="29" spans="1:6" ht="14.45">
      <c r="A29" s="9"/>
      <c r="B29" s="7"/>
      <c r="C29" s="30"/>
      <c r="D29" s="8"/>
      <c r="E29" s="7"/>
      <c r="F29" s="8"/>
    </row>
    <row r="30" spans="1:6" ht="14.45">
      <c r="A30" s="9"/>
      <c r="B30" s="5"/>
      <c r="C30" s="28"/>
      <c r="D30" s="3"/>
      <c r="E30" s="5"/>
      <c r="F30" s="3"/>
    </row>
    <row r="31" spans="1:6" ht="14.45">
      <c r="A31" s="9"/>
      <c r="B31" s="5"/>
      <c r="C31" s="28"/>
      <c r="D31" s="3"/>
      <c r="E31" s="5"/>
      <c r="F31" s="3"/>
    </row>
    <row r="32" spans="1:6" ht="14.45">
      <c r="A32" s="9"/>
      <c r="B32" s="5"/>
      <c r="C32" s="28"/>
      <c r="D32" s="3"/>
      <c r="E32" s="5"/>
      <c r="F32" s="3"/>
    </row>
    <row r="33" spans="1:6" ht="14.45">
      <c r="A33" s="9"/>
      <c r="B33" s="5"/>
      <c r="C33" s="28"/>
      <c r="D33" s="3"/>
      <c r="E33" s="5"/>
      <c r="F33" s="3"/>
    </row>
    <row r="34" spans="1:6" ht="14.45">
      <c r="A34" s="9"/>
      <c r="B34" s="5"/>
      <c r="C34" s="28"/>
      <c r="D34" s="3"/>
      <c r="E34" s="5"/>
      <c r="F34" s="3"/>
    </row>
    <row r="35" spans="1:6" ht="14.45">
      <c r="A35" s="9"/>
      <c r="B35" s="5"/>
      <c r="C35" s="28"/>
      <c r="D35" s="3"/>
      <c r="E35" s="5"/>
      <c r="F35" s="3"/>
    </row>
    <row r="36" spans="1:6" ht="14.45">
      <c r="A36" s="9"/>
      <c r="B36" s="5"/>
      <c r="C36" s="28"/>
      <c r="D36" s="3"/>
      <c r="E36" s="5"/>
      <c r="F36" s="3"/>
    </row>
    <row r="37" spans="1:6" ht="14.45">
      <c r="A37" s="9"/>
      <c r="B37" s="5"/>
      <c r="C37" s="28"/>
      <c r="D37" s="3"/>
      <c r="E37" s="5"/>
      <c r="F37" s="3"/>
    </row>
    <row r="38" spans="1:6" ht="14.45">
      <c r="A38" s="9"/>
      <c r="B38" s="5"/>
      <c r="C38" s="28"/>
      <c r="D38" s="3"/>
      <c r="E38" s="5"/>
      <c r="F38" s="3"/>
    </row>
    <row r="39" spans="1:6" ht="14.45">
      <c r="A39" s="9"/>
      <c r="B39" s="5"/>
      <c r="C39" s="28"/>
      <c r="D39" s="3"/>
      <c r="E39" s="5"/>
      <c r="F39" s="3"/>
    </row>
    <row r="40" spans="1:6" ht="14.45">
      <c r="A40" s="9"/>
      <c r="B40" s="5"/>
      <c r="C40" s="28"/>
      <c r="D40" s="3"/>
      <c r="E40" s="5"/>
      <c r="F40" s="3"/>
    </row>
    <row r="41" spans="1:6" ht="14.45">
      <c r="A41" s="9"/>
      <c r="B41" s="5"/>
      <c r="C41" s="28"/>
      <c r="D41" s="3"/>
      <c r="E41" s="5"/>
      <c r="F41" s="3"/>
    </row>
    <row r="46" spans="1:6">
      <c r="C46" s="31"/>
      <c r="D46" s="12"/>
      <c r="E46" s="12"/>
      <c r="F46" s="12"/>
    </row>
    <row r="47" spans="1:6">
      <c r="C47" s="31"/>
      <c r="D47" s="12"/>
      <c r="E47" s="12"/>
      <c r="F47" s="12"/>
    </row>
  </sheetData>
  <mergeCells count="3">
    <mergeCell ref="A1:F2"/>
    <mergeCell ref="A4:A7"/>
    <mergeCell ref="A11:A1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24"/>
  <sheetViews>
    <sheetView workbookViewId="0">
      <selection activeCell="C13" sqref="C13"/>
    </sheetView>
  </sheetViews>
  <sheetFormatPr defaultColWidth="14.42578125" defaultRowHeight="12.75"/>
  <cols>
    <col min="1" max="1" width="72.42578125" customWidth="1"/>
    <col min="2" max="2" width="23.28515625" style="21" customWidth="1"/>
    <col min="3" max="3" width="38.28515625" style="21" customWidth="1"/>
  </cols>
  <sheetData>
    <row r="1" spans="1:4" ht="15.75">
      <c r="A1" s="69" t="s">
        <v>150</v>
      </c>
    </row>
    <row r="2" spans="1:4" ht="15">
      <c r="A2" s="102" t="s">
        <v>151</v>
      </c>
    </row>
    <row r="3" spans="1:4" ht="15">
      <c r="A3" s="102" t="s">
        <v>152</v>
      </c>
    </row>
    <row r="4" spans="1:4" ht="15">
      <c r="A4" s="102" t="s">
        <v>153</v>
      </c>
    </row>
    <row r="5" spans="1:4" ht="15">
      <c r="A5" s="102" t="s">
        <v>154</v>
      </c>
      <c r="B5" s="46"/>
      <c r="C5" s="46"/>
      <c r="D5" s="47"/>
    </row>
    <row r="6" spans="1:4" ht="15">
      <c r="A6" s="102" t="s">
        <v>155</v>
      </c>
      <c r="B6" s="46"/>
      <c r="C6" s="46"/>
      <c r="D6" s="47"/>
    </row>
    <row r="7" spans="1:4" ht="15">
      <c r="A7" s="102" t="s">
        <v>156</v>
      </c>
      <c r="B7" s="46"/>
      <c r="C7" s="46"/>
      <c r="D7" s="47"/>
    </row>
    <row r="8" spans="1:4" ht="15">
      <c r="A8" s="102" t="s">
        <v>157</v>
      </c>
      <c r="B8" s="46"/>
      <c r="C8" s="46"/>
      <c r="D8" s="47"/>
    </row>
    <row r="9" spans="1:4" ht="15">
      <c r="A9" s="102" t="s">
        <v>158</v>
      </c>
      <c r="B9" s="46"/>
      <c r="C9" s="46"/>
      <c r="D9" s="47"/>
    </row>
    <row r="10" spans="1:4" ht="15">
      <c r="A10" s="102" t="s">
        <v>159</v>
      </c>
      <c r="B10" s="46"/>
      <c r="C10" s="46"/>
      <c r="D10" s="47"/>
    </row>
    <row r="11" spans="1:4" ht="15">
      <c r="A11" s="102" t="s">
        <v>160</v>
      </c>
      <c r="B11" s="46"/>
      <c r="C11" s="46"/>
      <c r="D11" s="47"/>
    </row>
    <row r="12" spans="1:4" ht="15">
      <c r="A12" s="102" t="s">
        <v>161</v>
      </c>
      <c r="B12" s="46"/>
      <c r="C12" s="46"/>
      <c r="D12" s="47"/>
    </row>
    <row r="13" spans="1:4" ht="184.5" customHeight="1">
      <c r="A13" s="103" t="s">
        <v>162</v>
      </c>
      <c r="B13" s="46"/>
      <c r="C13" s="46"/>
      <c r="D13" s="47"/>
    </row>
    <row r="14" spans="1:4" ht="15">
      <c r="A14" s="102" t="s">
        <v>163</v>
      </c>
      <c r="B14" s="46"/>
      <c r="C14" s="46"/>
      <c r="D14" s="47"/>
    </row>
    <row r="15" spans="1:4" ht="15">
      <c r="A15" s="102" t="s">
        <v>164</v>
      </c>
      <c r="B15" s="46"/>
      <c r="C15" s="46"/>
      <c r="D15" s="47"/>
    </row>
    <row r="16" spans="1:4">
      <c r="B16" s="46"/>
      <c r="C16" s="46"/>
      <c r="D16" s="47"/>
    </row>
    <row r="17" spans="1:4">
      <c r="B17" s="46"/>
      <c r="C17" s="46"/>
      <c r="D17" s="47"/>
    </row>
    <row r="18" spans="1:4">
      <c r="A18" s="47"/>
      <c r="B18" s="46"/>
      <c r="C18" s="46"/>
      <c r="D18" s="47"/>
    </row>
    <row r="19" spans="1:4">
      <c r="A19" s="47"/>
      <c r="B19" s="46"/>
      <c r="C19" s="46"/>
      <c r="D19" s="47"/>
    </row>
    <row r="20" spans="1:4">
      <c r="A20" s="47"/>
      <c r="B20" s="46"/>
      <c r="C20" s="46"/>
      <c r="D20" s="47"/>
    </row>
    <row r="21" spans="1:4">
      <c r="A21" s="118"/>
      <c r="B21" s="46"/>
      <c r="C21" s="46"/>
      <c r="D21" s="47"/>
    </row>
    <row r="22" spans="1:4">
      <c r="A22" s="118"/>
      <c r="B22" s="46"/>
      <c r="C22" s="46"/>
      <c r="D22" s="47"/>
    </row>
    <row r="23" spans="1:4">
      <c r="A23" s="47"/>
      <c r="B23" s="46"/>
      <c r="C23" s="46"/>
      <c r="D23" s="47"/>
    </row>
    <row r="24" spans="1:4">
      <c r="A24" s="47"/>
      <c r="B24" s="46"/>
      <c r="C24" s="46"/>
      <c r="D24" s="4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264F3-DDE1-4187-A4F5-C97B708C7CC8}">
  <dimension ref="A1:D2"/>
  <sheetViews>
    <sheetView topLeftCell="A3" workbookViewId="0">
      <selection activeCell="D2" sqref="D2"/>
    </sheetView>
  </sheetViews>
  <sheetFormatPr defaultRowHeight="12.75"/>
  <cols>
    <col min="1" max="1" width="41.85546875" customWidth="1"/>
    <col min="2" max="2" width="27.5703125" style="21" customWidth="1"/>
    <col min="3" max="3" width="22.140625" customWidth="1"/>
    <col min="4" max="4" width="64.5703125" customWidth="1"/>
  </cols>
  <sheetData>
    <row r="1" spans="1:4" ht="15.75">
      <c r="A1" s="119" t="s">
        <v>165</v>
      </c>
      <c r="B1" s="120" t="s">
        <v>40</v>
      </c>
      <c r="C1" s="119" t="s">
        <v>166</v>
      </c>
      <c r="D1" s="119" t="s">
        <v>167</v>
      </c>
    </row>
    <row r="2" spans="1:4" ht="339.75" customHeight="1">
      <c r="A2" s="102" t="s">
        <v>168</v>
      </c>
      <c r="B2" s="103" t="s">
        <v>169</v>
      </c>
      <c r="C2" s="102" t="s">
        <v>170</v>
      </c>
      <c r="D2" s="103" t="s">
        <v>171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BB21E-59C3-443B-868D-827DC67ABCB5}">
  <dimension ref="J23"/>
  <sheetViews>
    <sheetView workbookViewId="0">
      <selection activeCell="R21" sqref="R21"/>
    </sheetView>
  </sheetViews>
  <sheetFormatPr defaultColWidth="8.85546875" defaultRowHeight="12.6"/>
  <sheetData>
    <row r="23" spans="10:10">
      <c r="J23" t="e" vm="1">
        <v>#VALUE!</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CC8F2-EFC7-4C1C-832E-FAE5FF045307}">
  <dimension ref="J12:Q26"/>
  <sheetViews>
    <sheetView topLeftCell="F14" workbookViewId="0">
      <selection activeCell="M21" sqref="M21"/>
    </sheetView>
  </sheetViews>
  <sheetFormatPr defaultRowHeight="12.75"/>
  <cols>
    <col min="11" max="11" width="40.42578125" customWidth="1"/>
    <col min="12" max="12" width="70.140625" customWidth="1"/>
    <col min="13" max="13" width="18.28515625" customWidth="1"/>
    <col min="14" max="14" width="16.7109375" customWidth="1"/>
    <col min="15" max="15" width="22.85546875" customWidth="1"/>
  </cols>
  <sheetData>
    <row r="12" spans="10:17" ht="15">
      <c r="J12" s="121"/>
      <c r="K12" s="122" t="s">
        <v>172</v>
      </c>
      <c r="L12" s="121"/>
      <c r="M12" s="121"/>
      <c r="N12" s="121"/>
      <c r="O12" s="121"/>
      <c r="P12" s="121"/>
    </row>
    <row r="13" spans="10:17" ht="15">
      <c r="J13" s="121"/>
      <c r="K13" s="121"/>
      <c r="L13" s="121"/>
      <c r="M13" s="131"/>
      <c r="N13" s="131"/>
      <c r="O13" s="131"/>
      <c r="P13" s="131"/>
      <c r="Q13" s="21"/>
    </row>
    <row r="14" spans="10:17" ht="43.5">
      <c r="J14" s="128"/>
      <c r="K14" s="122" t="s">
        <v>173</v>
      </c>
      <c r="L14" s="122" t="s">
        <v>40</v>
      </c>
      <c r="M14" s="132" t="s">
        <v>174</v>
      </c>
      <c r="N14" s="132" t="s">
        <v>175</v>
      </c>
      <c r="O14" s="132" t="s">
        <v>176</v>
      </c>
      <c r="P14" s="132" t="s">
        <v>177</v>
      </c>
      <c r="Q14" s="21"/>
    </row>
    <row r="15" spans="10:17" ht="15">
      <c r="J15" s="124">
        <v>1</v>
      </c>
      <c r="K15" s="130" t="s">
        <v>178</v>
      </c>
      <c r="L15" s="130" t="s">
        <v>179</v>
      </c>
      <c r="M15" s="133">
        <v>1</v>
      </c>
      <c r="N15" s="134">
        <v>0.5</v>
      </c>
      <c r="O15" s="135">
        <v>46009</v>
      </c>
      <c r="P15" s="136"/>
      <c r="Q15" s="21"/>
    </row>
    <row r="16" spans="10:17" ht="29.25">
      <c r="J16" s="124">
        <v>2</v>
      </c>
      <c r="K16" s="130" t="s">
        <v>50</v>
      </c>
      <c r="L16" s="130" t="s">
        <v>51</v>
      </c>
      <c r="M16" s="133">
        <v>0.5</v>
      </c>
      <c r="N16" s="134">
        <v>0.5</v>
      </c>
      <c r="O16" s="135">
        <v>46012</v>
      </c>
      <c r="P16" s="130"/>
      <c r="Q16" s="21"/>
    </row>
    <row r="17" spans="10:16" ht="57.75">
      <c r="J17" s="124">
        <v>3</v>
      </c>
      <c r="K17" s="130" t="s">
        <v>52</v>
      </c>
      <c r="L17" s="130" t="s">
        <v>53</v>
      </c>
      <c r="M17" s="133">
        <v>0.8</v>
      </c>
      <c r="N17" s="126">
        <v>3</v>
      </c>
      <c r="O17" s="135">
        <v>46015</v>
      </c>
      <c r="P17" s="123"/>
    </row>
    <row r="18" spans="10:16" ht="29.25">
      <c r="J18" s="124">
        <v>4</v>
      </c>
      <c r="K18" s="130" t="s">
        <v>55</v>
      </c>
      <c r="L18" s="130" t="s">
        <v>56</v>
      </c>
      <c r="M18" s="133">
        <v>0.8</v>
      </c>
      <c r="N18" s="126">
        <v>2</v>
      </c>
      <c r="O18" s="135">
        <v>46019</v>
      </c>
      <c r="P18" s="123"/>
    </row>
    <row r="19" spans="10:16" ht="57.75">
      <c r="J19" s="124">
        <v>5</v>
      </c>
      <c r="K19" s="130" t="s">
        <v>57</v>
      </c>
      <c r="L19" s="130" t="s">
        <v>58</v>
      </c>
      <c r="M19" s="133">
        <v>0.8</v>
      </c>
      <c r="N19" s="126">
        <v>2</v>
      </c>
      <c r="O19" s="135">
        <v>46021</v>
      </c>
      <c r="P19" s="121"/>
    </row>
    <row r="20" spans="10:16" ht="43.5">
      <c r="J20" s="124">
        <v>6</v>
      </c>
      <c r="K20" s="130" t="s">
        <v>59</v>
      </c>
      <c r="L20" s="130" t="s">
        <v>60</v>
      </c>
      <c r="M20" s="133">
        <v>0.8</v>
      </c>
      <c r="N20" s="126">
        <v>1</v>
      </c>
      <c r="O20" s="135">
        <v>46022</v>
      </c>
      <c r="P20" s="123"/>
    </row>
    <row r="21" spans="10:16" ht="43.5">
      <c r="J21" s="124">
        <v>7</v>
      </c>
      <c r="K21" s="130" t="s">
        <v>61</v>
      </c>
      <c r="L21" s="130" t="s">
        <v>62</v>
      </c>
      <c r="M21" s="125">
        <v>0.95</v>
      </c>
      <c r="N21" s="126">
        <v>1</v>
      </c>
      <c r="O21" s="135">
        <v>46023</v>
      </c>
      <c r="P21" s="123"/>
    </row>
    <row r="22" spans="10:16" ht="29.25">
      <c r="J22" s="124">
        <v>8</v>
      </c>
      <c r="K22" s="130" t="s">
        <v>63</v>
      </c>
      <c r="L22" s="130" t="s">
        <v>64</v>
      </c>
      <c r="M22" s="125"/>
      <c r="N22" s="126">
        <v>1</v>
      </c>
      <c r="O22" s="135">
        <v>46024</v>
      </c>
      <c r="P22" s="123"/>
    </row>
    <row r="23" spans="10:16" ht="15">
      <c r="J23" s="124">
        <v>9</v>
      </c>
      <c r="K23" s="129" t="s">
        <v>180</v>
      </c>
      <c r="L23" s="123"/>
      <c r="M23" s="125"/>
      <c r="N23" s="126">
        <v>5</v>
      </c>
      <c r="O23" s="135">
        <v>46030</v>
      </c>
      <c r="P23" s="123"/>
    </row>
    <row r="24" spans="10:16" ht="15">
      <c r="J24" s="122"/>
      <c r="K24" s="123"/>
      <c r="L24" s="123"/>
      <c r="M24" s="125"/>
      <c r="N24" s="126"/>
      <c r="O24" s="127"/>
      <c r="P24" s="123"/>
    </row>
    <row r="25" spans="10:16" ht="15">
      <c r="J25" s="122"/>
      <c r="K25" s="123"/>
      <c r="L25" s="123"/>
      <c r="M25" s="125"/>
      <c r="N25" s="126"/>
      <c r="O25" s="127"/>
      <c r="P25" s="121"/>
    </row>
    <row r="26" spans="10:16" ht="15">
      <c r="J26" s="122"/>
      <c r="K26" s="121"/>
      <c r="L26" s="121"/>
      <c r="M26" s="121"/>
      <c r="N26" s="121"/>
      <c r="O26" s="121"/>
      <c r="P26" s="12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D89695814397C42A6396A2355C665D6" ma:contentTypeVersion="3" ma:contentTypeDescription="Create a new document." ma:contentTypeScope="" ma:versionID="21b37fe4f5f4a64045ba77f47a349959">
  <xsd:schema xmlns:xsd="http://www.w3.org/2001/XMLSchema" xmlns:xs="http://www.w3.org/2001/XMLSchema" xmlns:p="http://schemas.microsoft.com/office/2006/metadata/properties" xmlns:ns2="31859e41-20b6-4290-bd2b-863bd5feb794" targetNamespace="http://schemas.microsoft.com/office/2006/metadata/properties" ma:root="true" ma:fieldsID="4ff1a5770f7ab79f3f4cf31c0961c0f5" ns2:_="">
    <xsd:import namespace="31859e41-20b6-4290-bd2b-863bd5feb79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859e41-20b6-4290-bd2b-863bd5feb79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2F88EB0-59FB-4F4D-870C-D7368D706AF7}"/>
</file>

<file path=customXml/itemProps2.xml><?xml version="1.0" encoding="utf-8"?>
<ds:datastoreItem xmlns:ds="http://schemas.openxmlformats.org/officeDocument/2006/customXml" ds:itemID="{F0CA8425-F905-4FA8-9896-84C26D0103A1}"/>
</file>

<file path=customXml/itemProps3.xml><?xml version="1.0" encoding="utf-8"?>
<ds:datastoreItem xmlns:ds="http://schemas.openxmlformats.org/officeDocument/2006/customXml" ds:itemID="{E098B4BC-C62F-4A38-83C2-9304C7FE54D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Arik Faingold</dc:creator>
  <cp:keywords/>
  <dc:description/>
  <cp:lastModifiedBy>Niv Spector</cp:lastModifiedBy>
  <cp:revision/>
  <dcterms:created xsi:type="dcterms:W3CDTF">2020-11-23T11:49:30Z</dcterms:created>
  <dcterms:modified xsi:type="dcterms:W3CDTF">2026-03-02T14:03:43Z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0x0101008D89695814397C42A6396A2355C665D6</vt:lpwstr>
  </property>
  <property fmtid="{D5CDD505-2E9C-101B-9397-08002B2CF9AE}" pid="3" name="Order">
    <vt:r8>7700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