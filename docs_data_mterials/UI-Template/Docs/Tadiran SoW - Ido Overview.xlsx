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https://valinorisrael.sharepoint.com/sites/ClientLightshipNeuroscienceUS-Delivery-LightshipNeuroscience/Shared Documents/"/>
    </mc:Choice>
  </mc:AlternateContent>
  <xr:revisionPtr revIDLastSave="104" documentId="13_ncr:1_{DDA90861-32FA-EC40-AD78-926A27DB98F1}" xr6:coauthVersionLast="47" xr6:coauthVersionMax="47" xr10:uidLastSave="{15155E27-B6FC-1E46-91D2-D1CC07621283}"/>
  <bookViews>
    <workbookView xWindow="5460" yWindow="4800" windowWidth="22880" windowHeight="17240" activeTab="4" xr2:uid="{00000000-000D-0000-FFFF-FFFF00000000}"/>
  </bookViews>
  <sheets>
    <sheet name="_Architecture" sheetId="4" r:id="rId1"/>
    <sheet name="PoC Scope  " sheetId="8" r:id="rId2"/>
    <sheet name=" Success criteria" sheetId="7" r:id="rId3"/>
    <sheet name="Non-functional requirements" sheetId="2" state="hidden" r:id="rId4"/>
    <sheet name="_DoD" sheetId="9" r:id="rId5"/>
    <sheet name="Assumptions"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8" l="1"/>
  <c r="I16" i="8"/>
  <c r="I17" i="8"/>
  <c r="I15" i="8"/>
  <c r="I9" i="8"/>
  <c r="I10" i="8"/>
  <c r="I12" i="8"/>
  <c r="I13" i="8"/>
  <c r="I14" i="8"/>
  <c r="I5" i="8"/>
  <c r="I6" i="8"/>
  <c r="I7" i="8"/>
  <c r="I8" i="8"/>
  <c r="I4" i="8"/>
  <c r="I3" i="8"/>
  <c r="E18" i="8"/>
  <c r="N27" i="8" s="1"/>
  <c r="V31" i="8"/>
  <c r="P31" i="8"/>
  <c r="V30" i="8"/>
  <c r="P30" i="8"/>
  <c r="V29" i="8"/>
  <c r="P29" i="8"/>
  <c r="V28" i="8"/>
  <c r="V27" i="8"/>
  <c r="H18" i="8"/>
  <c r="G18" i="8"/>
  <c r="F18" i="8"/>
  <c r="N28" i="8" s="1"/>
  <c r="P28" i="8" s="1"/>
  <c r="I18" i="8" l="1"/>
  <c r="V32" i="8"/>
  <c r="N32" i="8"/>
  <c r="P27" i="8"/>
  <c r="P32" i="8" s="1"/>
</calcChain>
</file>

<file path=xl/sharedStrings.xml><?xml version="1.0" encoding="utf-8"?>
<sst xmlns="http://schemas.openxmlformats.org/spreadsheetml/2006/main" count="130" uniqueCount="111">
  <si>
    <t>User Group</t>
  </si>
  <si>
    <t>Epic</t>
  </si>
  <si>
    <t>Feature/Screen</t>
  </si>
  <si>
    <t>Description</t>
  </si>
  <si>
    <t xml:space="preserve">Days </t>
  </si>
  <si>
    <t>Cost</t>
  </si>
  <si>
    <t>Phase</t>
  </si>
  <si>
    <t>Tech Assumptions</t>
  </si>
  <si>
    <t>Dependencies</t>
  </si>
  <si>
    <t>AI</t>
  </si>
  <si>
    <t>DevOps</t>
  </si>
  <si>
    <t>BE</t>
  </si>
  <si>
    <t>FE</t>
  </si>
  <si>
    <t>Infrastructure</t>
  </si>
  <si>
    <t>Networking</t>
  </si>
  <si>
    <t>Routing Tables, Subnets, Cross accounts communication, DHCP Options Set</t>
  </si>
  <si>
    <t>Identity Access</t>
  </si>
  <si>
    <t>Security Objects</t>
  </si>
  <si>
    <t>IAM roles and Policies, Security Groups</t>
  </si>
  <si>
    <t>AWS Services Creation</t>
  </si>
  <si>
    <t>AWS Resources</t>
  </si>
  <si>
    <t>S3, Bedrock, ECS, Lambda, ECR , Application Load Balancer, ACM (Certifaicte)</t>
  </si>
  <si>
    <t>Deployment</t>
  </si>
  <si>
    <t>Application Deployment</t>
  </si>
  <si>
    <t>Build and Deploy FE ECS microservice and BE Lambda fucntion</t>
  </si>
  <si>
    <t>Local Setup</t>
  </si>
  <si>
    <t>Setup For development on dedicated AWS account</t>
  </si>
  <si>
    <t>Setup of the environment and other infrastructural items that will be used in the POC</t>
  </si>
  <si>
    <t>Data Setup</t>
  </si>
  <si>
    <t>Ingest Data</t>
  </si>
  <si>
    <t>Create functionality to read and ingest clients files containing air conditioning tips, rules, and scenarios in structured formats (JSON or similar). These files will include categorized tips by room characteristics, occupant types, and combined scenario rules that will be used later by the custom retriever to find relevant advice. Also ingest IoT data files containing AC usage logs, temperature readings, and filter status information.</t>
  </si>
  <si>
    <t>Core functionality</t>
  </si>
  <si>
    <t>Knowledge base</t>
  </si>
  <si>
    <t>Implement a storage and indexing system for ingested air conditioning tips and rules, organized by categories (room size, room type, occupant type, temperature preferences, etc.) and scenario-based rules, using vector-store approach with metadata filters quering. The system will also store and index IoT data for querying. This part with custom retriever pass relevant tips and etc. to the core engine.</t>
  </si>
  <si>
    <t>Custom retriever</t>
  </si>
  <si>
    <t>Build a retrieval system that takes user questionnaire responses as input and searches the knowledgebase using a combined approach: similarity search to find semantically relevant tips and metadata filtering to match specific user attributes (room size, occupant type, temperature, etc.). The retriever combines results from both methods and returns the most relevant tips The system will also store and index IoT data that will be used by the core engine as context for generating personalized advice.</t>
  </si>
  <si>
    <t>LLM client</t>
  </si>
  <si>
    <t>Implement client integrations for LLM providers (e.g., AWS Bedrock, OpenAI, Google Generative AI SDK). Each client will have basic functionality to send queries and receive responses from their respective LLM services, which will be used by the core engine to generate personalized air conditioning advice.</t>
  </si>
  <si>
    <t>Core engine</t>
  </si>
  <si>
    <t>Create the core orchestration engine that combines questionnaire responses, custom retriever results, and LLM client. The engine handles the flow: receiving questionnaire data, invoking the custom retriever to find relevant knowledge base entries, formatting retrieved context with user responses into prompts, sending queries to the LLM client, and formatting the final personalized advice responses.</t>
  </si>
  <si>
    <t>UI</t>
  </si>
  <si>
    <t>Streamlit UI Integration</t>
  </si>
  <si>
    <t xml:space="preserve">Create a POC-grade UI with a prototyping framework such as Streamlit or V0. This UI will enable interaction with the POC functionality as text input, questionary fields, LLM output. </t>
  </si>
  <si>
    <t>MVP/PROD SoW</t>
  </si>
  <si>
    <t>MVP/Production Implementation Plan Creation</t>
  </si>
  <si>
    <t>Create an end-to-end project plan for the MVP build and its deployment to production. Include a detailed task breakdown covering all development activities testing procedures and go-live activities needed to move from POC to production</t>
  </si>
  <si>
    <t>Tests</t>
  </si>
  <si>
    <t>Evaluation and Benckmarking</t>
  </si>
  <si>
    <t>Evaluation phase. Test all user flows end-to-end evaluate system performance and reliability and ensure all functionality works as expected before production deployment</t>
  </si>
  <si>
    <t xml:space="preserve"> </t>
  </si>
  <si>
    <t>Timeline - Sprint 2 week (10 day)</t>
  </si>
  <si>
    <t>Phase 1 estimation</t>
  </si>
  <si>
    <t>Resource</t>
  </si>
  <si>
    <t>S0</t>
  </si>
  <si>
    <t>S1</t>
  </si>
  <si>
    <t>S2</t>
  </si>
  <si>
    <t>Devops</t>
  </si>
  <si>
    <t>Product</t>
  </si>
  <si>
    <t>Project</t>
  </si>
  <si>
    <t>AI Architect</t>
  </si>
  <si>
    <t>Non-Functional Requirements (RWE)</t>
  </si>
  <si>
    <t>Category</t>
  </si>
  <si>
    <t>Requirement</t>
  </si>
  <si>
    <t>Version</t>
  </si>
  <si>
    <t>Status</t>
  </si>
  <si>
    <t>Remarks</t>
  </si>
  <si>
    <t>Usability</t>
  </si>
  <si>
    <t>Mobile Devices support</t>
  </si>
  <si>
    <t xml:space="preserve">not relevant </t>
  </si>
  <si>
    <t>Operating System</t>
  </si>
  <si>
    <t>Browser support</t>
  </si>
  <si>
    <t>Screen resolution</t>
  </si>
  <si>
    <t>Languages</t>
  </si>
  <si>
    <t>Localization</t>
  </si>
  <si>
    <t xml:space="preserve">Working load </t>
  </si>
  <si>
    <t>WL</t>
  </si>
  <si>
    <t>Compliances</t>
  </si>
  <si>
    <t>PCI-compliance</t>
  </si>
  <si>
    <t>GDPR-compliance</t>
  </si>
  <si>
    <t>Data retention</t>
  </si>
  <si>
    <t>Performance</t>
  </si>
  <si>
    <t>Load time</t>
  </si>
  <si>
    <t>Integrations</t>
  </si>
  <si>
    <t>Monitoring</t>
  </si>
  <si>
    <t>Auditing</t>
  </si>
  <si>
    <t>3rd party services</t>
  </si>
  <si>
    <t>Billing, Chat, CRM, ERP….</t>
  </si>
  <si>
    <t>Assumptions</t>
  </si>
  <si>
    <t>Screen for validating answer (by Yarden)</t>
  </si>
  <si>
    <t xml:space="preserve">Process Usage History </t>
  </si>
  <si>
    <t>Create Answer Validation Flow</t>
  </si>
  <si>
    <t>Create the flow that will process the usage history of a given user, and return usage-related insights. Those usage-related insights will be used by the core engine when it generates the recommendations for the user, and will help the core engine to provide recommendations that fit the user better</t>
  </si>
  <si>
    <t>Create the flow and UI addition that will enable an admin to approve which recommendations can be shown to a user and which recommendations cannot. This will be used to filter recommendations and only select the ones which are deemed valuable</t>
  </si>
  <si>
    <t>We cannot guarantee speed of inference (this is why we do a POC)</t>
  </si>
  <si>
    <t>All deliverables are contingent on Commit’s ability to collect and analyze required information within allocated project budget</t>
  </si>
  <si>
    <t>If customer will not provide required data, in order to ensure timely development, data may be syntesized by the development team and the synthesized data will serve as the benchmark</t>
  </si>
  <si>
    <t>Customer will provide a human in loop to assist in response evaluation and tool output evaluation, and make said person available to the development team</t>
  </si>
  <si>
    <t>Components, services, and solution architecture  offered in the solution are based on experince in similar cases, and might change during the project. Funtionality will remain the same</t>
  </si>
  <si>
    <t>Latency and other performance metrics are not in scope of this POC</t>
  </si>
  <si>
    <t>The solution will include one enviroment only, which will be provided by Customer</t>
  </si>
  <si>
    <t>User usage data will be provided in JSON format or CSV format</t>
  </si>
  <si>
    <t>Recommendations will be saved in a designated and separated database during the POC and integration with existing databases will be done in later stages</t>
  </si>
  <si>
    <t>Metrics</t>
  </si>
  <si>
    <t>Typical Value</t>
  </si>
  <si>
    <t>How is it Measured</t>
  </si>
  <si>
    <t>Classification Accuracy</t>
  </si>
  <si>
    <t>Over 80%</t>
  </si>
  <si>
    <t>For each item in the golden dataset provided by the customer, Commit will invoke the model using the user's request as input.
The model will give recommendations, and the recommendations that the model generates will be compared to the known recommendations given to that input in the golden dataset. 
If the recommendation is identical, the item will be marked as "correct". If 80% of items are "correct", the POC is deemed successful</t>
  </si>
  <si>
    <t>Classification Accuracy - when given a set of data points about a user than we expect to yield a known recommendation, does the model provide this recommendation</t>
  </si>
  <si>
    <t>Definition of Completion (DoC):</t>
  </si>
  <si>
    <t>Get Recommendations
User is able to upload usage logs as JSON into a text box served via a UI. 
User is able to send an API call with the described Input (JSON format):
User Usage Logs - data points regarding user activities, such as turning an air condition on and off including timestamp, as well as IoT data (JSON)
When such Input is either sent via API or via the UI, the described Output is returned in case of success and a general error message is returned in case of error.
Classification - the recommendations given to the text in Text to classify (closed set of strings)
Review Recommendations
User is able to review recommendations generated by the model
Only recommendations that are approved by the user will be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</si>
</sst>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_);[Red]\(&quot;$&quot;#,##0.00\)"/>
    <numFmt numFmtId="165" formatCode="&quot;$&quot;#,##0.00"/>
    <numFmt numFmtId="166" formatCode="[$$-409]#,##0.00"/>
    <numFmt numFmtId="167" formatCode="&quot;₪&quot;#,##0.00"/>
    <numFmt numFmtId="168" formatCode="_([$$-409]* #,##0.00_);_([$$-409]* \(#,##0.00\);_([$$-409]* &quot;-&quot;??_);_(@_)"/>
    <numFmt numFmtId="169" formatCode="0.0"/>
  </numFmts>
  <fonts count="24" x14ac:knownFonts="1">
    <font>
      <sz val="10"/>
      <color rgb="FF000000"/>
      <name val="Arial"/>
    </font>
    <font>
      <b/>
      <sz val="11"/>
      <color rgb="FF000000"/>
      <name val="Calibri"/>
      <family val="2"/>
    </font>
    <font>
      <sz val="11"/>
      <color rgb="FF000000"/>
      <name val="Calibri"/>
      <family val="2"/>
    </font>
    <font>
      <sz val="10"/>
      <name val="Arial"/>
      <family val="2"/>
    </font>
    <font>
      <b/>
      <sz val="10"/>
      <color rgb="FF000000"/>
      <name val="Calibri"/>
      <family val="2"/>
    </font>
    <font>
      <b/>
      <sz val="12"/>
      <color rgb="FF000000"/>
      <name val="Calibri"/>
      <family val="2"/>
    </font>
    <font>
      <u/>
      <sz val="11"/>
      <color rgb="FF000000"/>
      <name val="Calibri"/>
      <family val="2"/>
    </font>
    <font>
      <sz val="14"/>
      <color rgb="FFFFFFFF"/>
      <name val="Calibri"/>
      <family val="2"/>
    </font>
    <font>
      <sz val="11"/>
      <name val="Calibri"/>
      <family val="2"/>
    </font>
    <font>
      <sz val="10"/>
      <color rgb="FF000000"/>
      <name val="Calibri"/>
      <family val="2"/>
    </font>
    <font>
      <sz val="12"/>
      <name val="Calibri"/>
      <family val="2"/>
    </font>
    <font>
      <sz val="12"/>
      <color rgb="FF000000"/>
      <name val="Calibri"/>
      <family val="2"/>
    </font>
    <font>
      <sz val="10"/>
      <color rgb="FF000000"/>
      <name val="Arial"/>
      <family val="2"/>
      <scheme val="minor"/>
    </font>
    <font>
      <sz val="10"/>
      <color theme="1"/>
      <name val="Arial"/>
      <family val="2"/>
      <scheme val="minor"/>
    </font>
    <font>
      <sz val="10"/>
      <color rgb="FF000000"/>
      <name val="Arial"/>
      <family val="2"/>
    </font>
    <font>
      <b/>
      <sz val="12"/>
      <color theme="1"/>
      <name val="Aptos Narrow"/>
      <family val="2"/>
    </font>
    <font>
      <sz val="12"/>
      <color theme="1"/>
      <name val="Calibri"/>
      <family val="2"/>
    </font>
    <font>
      <sz val="12"/>
      <color rgb="FF000000"/>
      <name val="Aptos Narrow"/>
    </font>
    <font>
      <sz val="12"/>
      <color rgb="FF000000"/>
      <name val="Arial"/>
      <family val="2"/>
    </font>
    <font>
      <sz val="12"/>
      <color rgb="FFFF0000"/>
      <name val="Arial"/>
      <family val="2"/>
    </font>
    <font>
      <u/>
      <sz val="12"/>
      <color rgb="FFFF0000"/>
      <name val="Arial"/>
      <family val="2"/>
    </font>
    <font>
      <u/>
      <sz val="12"/>
      <color rgb="FF007BB8"/>
      <name val="Arial"/>
      <family val="2"/>
    </font>
    <font>
      <sz val="12"/>
      <color theme="1"/>
      <name val="Aptos Narrow"/>
    </font>
    <font>
      <b/>
      <sz val="12"/>
      <color rgb="FF000000"/>
      <name val="Aptos Narrow"/>
    </font>
  </fonts>
  <fills count="16">
    <fill>
      <patternFill patternType="none"/>
    </fill>
    <fill>
      <patternFill patternType="gray125"/>
    </fill>
    <fill>
      <patternFill patternType="solid">
        <fgColor rgb="FFC6D9F0"/>
        <bgColor rgb="FFC6D9F0"/>
      </patternFill>
    </fill>
    <fill>
      <patternFill patternType="solid">
        <fgColor rgb="FFA5A5A5"/>
        <bgColor rgb="FFA5A5A5"/>
      </patternFill>
    </fill>
    <fill>
      <patternFill patternType="solid">
        <fgColor rgb="FFC9DAF8"/>
        <bgColor rgb="FFC9DAF8"/>
      </patternFill>
    </fill>
    <fill>
      <patternFill patternType="solid">
        <fgColor rgb="FF0F243E"/>
        <bgColor rgb="FF0F243E"/>
      </patternFill>
    </fill>
    <fill>
      <patternFill patternType="solid">
        <fgColor rgb="FFC5D9F1"/>
        <bgColor rgb="FFC5D9F1"/>
      </patternFill>
    </fill>
    <fill>
      <patternFill patternType="solid">
        <fgColor theme="4" tint="0.79998168889431442"/>
        <bgColor indexed="64"/>
      </patternFill>
    </fill>
    <fill>
      <patternFill patternType="solid">
        <fgColor theme="0"/>
        <bgColor rgb="FFC6D9F0"/>
      </patternFill>
    </fill>
    <fill>
      <patternFill patternType="solid">
        <fgColor rgb="FFFFFF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0"/>
        <bgColor indexed="64"/>
      </patternFill>
    </fill>
    <fill>
      <patternFill patternType="solid">
        <fgColor theme="4"/>
        <bgColor indexed="64"/>
      </patternFill>
    </fill>
    <fill>
      <patternFill patternType="solid">
        <fgColor theme="5" tint="0.59999389629810485"/>
        <bgColor indexed="64"/>
      </patternFill>
    </fill>
    <fill>
      <patternFill patternType="solid">
        <fgColor rgb="FFFFFF00"/>
        <bgColor rgb="FF000000"/>
      </patternFill>
    </fill>
  </fills>
  <borders count="19">
    <border>
      <left/>
      <right/>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top style="thin">
        <color indexed="64"/>
      </top>
      <bottom/>
      <diagonal/>
    </border>
    <border>
      <left/>
      <right/>
      <top/>
      <bottom style="thin">
        <color rgb="FF000000"/>
      </bottom>
      <diagonal/>
    </border>
    <border>
      <left style="thin">
        <color rgb="FF000000"/>
      </left>
      <right/>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2">
    <xf numFmtId="0" fontId="0" fillId="0" borderId="0"/>
    <xf numFmtId="0" fontId="14" fillId="0" borderId="0"/>
  </cellStyleXfs>
  <cellXfs count="137">
    <xf numFmtId="0" fontId="0" fillId="0" borderId="0" xfId="0"/>
    <xf numFmtId="0" fontId="2" fillId="0" borderId="3" xfId="0" applyFont="1" applyBorder="1" applyAlignment="1">
      <alignment horizontal="left"/>
    </xf>
    <xf numFmtId="0" fontId="2" fillId="0" borderId="3" xfId="0" applyFont="1" applyBorder="1" applyAlignment="1">
      <alignment horizontal="center"/>
    </xf>
    <xf numFmtId="0" fontId="2" fillId="0" borderId="3" xfId="0" applyFont="1" applyBorder="1"/>
    <xf numFmtId="0" fontId="2" fillId="0" borderId="1" xfId="0" applyFont="1" applyBorder="1"/>
    <xf numFmtId="0" fontId="2" fillId="0" borderId="1" xfId="0" applyFont="1" applyBorder="1" applyAlignment="1">
      <alignment horizontal="center"/>
    </xf>
    <xf numFmtId="0" fontId="2" fillId="0" borderId="5" xfId="0" applyFont="1" applyBorder="1" applyAlignment="1">
      <alignment horizontal="center"/>
    </xf>
    <xf numFmtId="0" fontId="2" fillId="0" borderId="2" xfId="0" applyFont="1" applyBorder="1"/>
    <xf numFmtId="0" fontId="2" fillId="0" borderId="2" xfId="0" applyFont="1" applyBorder="1" applyAlignment="1">
      <alignment horizontal="center"/>
    </xf>
    <xf numFmtId="0" fontId="0" fillId="0" borderId="4" xfId="0" applyBorder="1"/>
    <xf numFmtId="0" fontId="0" fillId="0" borderId="0" xfId="0" applyAlignment="1">
      <alignment wrapText="1"/>
    </xf>
    <xf numFmtId="0" fontId="2" fillId="0" borderId="6" xfId="0" applyFont="1" applyBorder="1"/>
    <xf numFmtId="0" fontId="2" fillId="0" borderId="6" xfId="0" applyFont="1" applyBorder="1" applyAlignment="1">
      <alignment horizontal="center" wrapText="1"/>
    </xf>
    <xf numFmtId="0" fontId="2" fillId="0" borderId="3" xfId="0" applyFont="1" applyBorder="1" applyAlignment="1">
      <alignment wrapText="1"/>
    </xf>
    <xf numFmtId="0" fontId="2" fillId="0" borderId="2" xfId="0" applyFont="1" applyBorder="1" applyAlignment="1">
      <alignment wrapText="1"/>
    </xf>
    <xf numFmtId="0" fontId="2" fillId="0" borderId="1" xfId="0" applyFont="1" applyBorder="1" applyAlignment="1">
      <alignment wrapText="1"/>
    </xf>
    <xf numFmtId="0" fontId="0" fillId="0" borderId="4" xfId="0" applyBorder="1" applyAlignment="1">
      <alignment wrapText="1"/>
    </xf>
    <xf numFmtId="0" fontId="2" fillId="0" borderId="6" xfId="0" applyFont="1" applyBorder="1" applyAlignment="1">
      <alignment horizontal="center"/>
    </xf>
    <xf numFmtId="0" fontId="8" fillId="0" borderId="5" xfId="0" applyFont="1" applyBorder="1" applyAlignment="1">
      <alignment wrapText="1"/>
    </xf>
    <xf numFmtId="0" fontId="6" fillId="6" borderId="6" xfId="0" applyFont="1" applyFill="1" applyBorder="1" applyAlignment="1">
      <alignment horizontal="center"/>
    </xf>
    <xf numFmtId="0" fontId="2" fillId="0" borderId="6" xfId="0" applyFont="1" applyBorder="1" applyAlignment="1">
      <alignment horizontal="left"/>
    </xf>
    <xf numFmtId="0" fontId="12" fillId="0" borderId="0" xfId="0" applyFont="1" applyAlignment="1">
      <alignment wrapText="1"/>
    </xf>
    <xf numFmtId="0" fontId="12" fillId="0" borderId="0" xfId="0" applyFont="1"/>
    <xf numFmtId="0" fontId="13" fillId="0" borderId="0" xfId="0" applyFont="1" applyAlignment="1">
      <alignment wrapText="1"/>
    </xf>
    <xf numFmtId="0" fontId="15" fillId="0" borderId="0" xfId="0" applyFont="1" applyAlignment="1">
      <alignment wrapText="1"/>
    </xf>
    <xf numFmtId="0" fontId="9" fillId="0" borderId="0" xfId="1" applyFont="1"/>
    <xf numFmtId="0" fontId="5" fillId="2" borderId="7" xfId="1" applyFont="1" applyFill="1" applyBorder="1" applyAlignment="1">
      <alignment horizontal="center" vertical="center" wrapText="1"/>
    </xf>
    <xf numFmtId="0" fontId="11" fillId="0" borderId="4" xfId="1" applyFont="1" applyBorder="1" applyAlignment="1">
      <alignment vertical="center" wrapText="1"/>
    </xf>
    <xf numFmtId="0" fontId="5" fillId="0" borderId="4" xfId="1" applyFont="1" applyBorder="1" applyAlignment="1">
      <alignment vertical="center" wrapText="1"/>
    </xf>
    <xf numFmtId="0" fontId="5" fillId="8" borderId="4" xfId="1" applyFont="1" applyFill="1" applyBorder="1" applyAlignment="1">
      <alignment vertical="center" wrapText="1"/>
    </xf>
    <xf numFmtId="0" fontId="5" fillId="0" borderId="0" xfId="1" applyFont="1" applyAlignment="1">
      <alignment vertical="center" wrapText="1"/>
    </xf>
    <xf numFmtId="0" fontId="1" fillId="0" borderId="0" xfId="1" applyFont="1" applyAlignment="1">
      <alignment vertical="center" wrapText="1"/>
    </xf>
    <xf numFmtId="0" fontId="11" fillId="0" borderId="0" xfId="1" applyFont="1" applyAlignment="1">
      <alignment vertical="center" wrapText="1"/>
    </xf>
    <xf numFmtId="0" fontId="2" fillId="0" borderId="0" xfId="1" applyFont="1" applyAlignment="1">
      <alignment vertical="center" wrapText="1"/>
    </xf>
    <xf numFmtId="0" fontId="1" fillId="0" borderId="0" xfId="1" applyFont="1" applyAlignment="1">
      <alignment wrapText="1"/>
    </xf>
    <xf numFmtId="0" fontId="2" fillId="0" borderId="0" xfId="1" applyFont="1" applyAlignment="1">
      <alignment wrapText="1"/>
    </xf>
    <xf numFmtId="168" fontId="2" fillId="9" borderId="8" xfId="1" applyNumberFormat="1" applyFont="1" applyFill="1" applyBorder="1" applyAlignment="1">
      <alignment vertical="center" wrapText="1"/>
    </xf>
    <xf numFmtId="167" fontId="2" fillId="9" borderId="8" xfId="1" applyNumberFormat="1" applyFont="1" applyFill="1" applyBorder="1" applyAlignment="1">
      <alignment vertical="center" wrapText="1"/>
    </xf>
    <xf numFmtId="167" fontId="2" fillId="9" borderId="6" xfId="1" applyNumberFormat="1" applyFont="1" applyFill="1" applyBorder="1" applyAlignment="1">
      <alignment vertical="center" wrapText="1"/>
    </xf>
    <xf numFmtId="166" fontId="2" fillId="0" borderId="0" xfId="1" applyNumberFormat="1" applyFont="1" applyAlignment="1">
      <alignment vertical="center" wrapText="1"/>
    </xf>
    <xf numFmtId="0" fontId="2" fillId="0" borderId="0" xfId="1" applyFont="1" applyAlignment="1">
      <alignment vertical="center"/>
    </xf>
    <xf numFmtId="0" fontId="4" fillId="0" borderId="0" xfId="1" applyFont="1" applyAlignment="1">
      <alignment wrapText="1"/>
    </xf>
    <xf numFmtId="0" fontId="6" fillId="0" borderId="0" xfId="1" applyFont="1" applyAlignment="1">
      <alignment vertical="center"/>
    </xf>
    <xf numFmtId="0" fontId="9" fillId="0" borderId="0" xfId="1" applyFont="1" applyAlignment="1">
      <alignment vertical="center"/>
    </xf>
    <xf numFmtId="0" fontId="2" fillId="0" borderId="0" xfId="1" applyFont="1" applyAlignment="1">
      <alignment horizontal="right" vertical="center"/>
    </xf>
    <xf numFmtId="0" fontId="2" fillId="0" borderId="0" xfId="1" applyFont="1"/>
    <xf numFmtId="0" fontId="4" fillId="7" borderId="0" xfId="1" applyFont="1" applyFill="1"/>
    <xf numFmtId="0" fontId="2" fillId="0" borderId="0" xfId="1" applyFont="1" applyAlignment="1">
      <alignment horizontal="left" vertical="center"/>
    </xf>
    <xf numFmtId="0" fontId="1" fillId="0" borderId="8" xfId="1" applyFont="1" applyBorder="1" applyAlignment="1">
      <alignment horizontal="left"/>
    </xf>
    <xf numFmtId="1" fontId="2" fillId="0" borderId="6" xfId="1" applyNumberFormat="1" applyFont="1" applyBorder="1" applyAlignment="1">
      <alignment horizontal="right"/>
    </xf>
    <xf numFmtId="164" fontId="9" fillId="15" borderId="6" xfId="1" applyNumberFormat="1" applyFont="1" applyFill="1" applyBorder="1"/>
    <xf numFmtId="168" fontId="2" fillId="0" borderId="1" xfId="1" applyNumberFormat="1" applyFont="1" applyBorder="1" applyAlignment="1">
      <alignment horizontal="right"/>
    </xf>
    <xf numFmtId="0" fontId="1" fillId="0" borderId="6" xfId="1" applyFont="1" applyBorder="1" applyAlignment="1">
      <alignment horizontal="left"/>
    </xf>
    <xf numFmtId="169" fontId="9" fillId="0" borderId="6" xfId="1" applyNumberFormat="1" applyFont="1" applyBorder="1"/>
    <xf numFmtId="0" fontId="9" fillId="0" borderId="6" xfId="1" applyFont="1" applyBorder="1"/>
    <xf numFmtId="168" fontId="9" fillId="9" borderId="6" xfId="1" applyNumberFormat="1" applyFont="1" applyFill="1" applyBorder="1"/>
    <xf numFmtId="9" fontId="9" fillId="0" borderId="0" xfId="1" applyNumberFormat="1" applyFont="1"/>
    <xf numFmtId="1" fontId="9" fillId="0" borderId="0" xfId="1" applyNumberFormat="1" applyFont="1"/>
    <xf numFmtId="168" fontId="1" fillId="0" borderId="0" xfId="1" applyNumberFormat="1" applyFont="1"/>
    <xf numFmtId="0" fontId="1" fillId="0" borderId="0" xfId="1" applyFont="1" applyAlignment="1">
      <alignment horizontal="left"/>
    </xf>
    <xf numFmtId="165" fontId="2" fillId="0" borderId="0" xfId="1" applyNumberFormat="1" applyFont="1"/>
    <xf numFmtId="0" fontId="9" fillId="0" borderId="0" xfId="1" applyFont="1" applyAlignment="1">
      <alignment wrapText="1"/>
    </xf>
    <xf numFmtId="168" fontId="9" fillId="0" borderId="0" xfId="1" applyNumberFormat="1" applyFont="1"/>
    <xf numFmtId="0" fontId="9" fillId="0" borderId="0" xfId="1" applyFont="1" applyAlignment="1">
      <alignment horizontal="center" vertical="center" wrapText="1"/>
    </xf>
    <xf numFmtId="0" fontId="2" fillId="0" borderId="0" xfId="1" applyFont="1" applyAlignment="1">
      <alignment horizontal="left"/>
    </xf>
    <xf numFmtId="0" fontId="14" fillId="0" borderId="0" xfId="1"/>
    <xf numFmtId="0" fontId="11" fillId="0" borderId="4" xfId="0" applyFont="1" applyBorder="1"/>
    <xf numFmtId="0" fontId="11" fillId="0" borderId="4" xfId="0" applyFont="1" applyBorder="1" applyAlignment="1">
      <alignment horizontal="center" vertical="center" wrapText="1"/>
    </xf>
    <xf numFmtId="0" fontId="11" fillId="0" borderId="0" xfId="1" applyFont="1" applyAlignment="1">
      <alignment wrapText="1"/>
    </xf>
    <xf numFmtId="0" fontId="9" fillId="0" borderId="0" xfId="1" applyFont="1" applyAlignment="1">
      <alignment vertical="center" wrapText="1"/>
    </xf>
    <xf numFmtId="168" fontId="11" fillId="9" borderId="8" xfId="1" applyNumberFormat="1" applyFont="1" applyFill="1" applyBorder="1" applyAlignment="1">
      <alignment vertical="center" wrapText="1"/>
    </xf>
    <xf numFmtId="0" fontId="5" fillId="0" borderId="0" xfId="1" applyFont="1" applyAlignment="1">
      <alignment wrapText="1"/>
    </xf>
    <xf numFmtId="0" fontId="11" fillId="0" borderId="4" xfId="0" applyFont="1" applyBorder="1" applyAlignment="1">
      <alignment wrapText="1"/>
    </xf>
    <xf numFmtId="0" fontId="16" fillId="12" borderId="4" xfId="1" applyFont="1" applyFill="1" applyBorder="1" applyAlignment="1">
      <alignment wrapText="1" readingOrder="1"/>
    </xf>
    <xf numFmtId="0" fontId="11" fillId="0" borderId="4" xfId="0" applyFont="1" applyBorder="1" applyAlignment="1">
      <alignment vertical="center" wrapText="1"/>
    </xf>
    <xf numFmtId="0" fontId="14" fillId="0" borderId="0" xfId="0" applyFont="1"/>
    <xf numFmtId="0" fontId="11" fillId="0" borderId="0" xfId="0" applyFont="1" applyAlignment="1">
      <alignment wrapText="1"/>
    </xf>
    <xf numFmtId="168" fontId="11" fillId="0" borderId="4" xfId="1" applyNumberFormat="1" applyFont="1" applyBorder="1" applyAlignment="1">
      <alignment vertical="center" wrapText="1"/>
    </xf>
    <xf numFmtId="0" fontId="5" fillId="2" borderId="4" xfId="1" applyFont="1" applyFill="1" applyBorder="1" applyAlignment="1">
      <alignment vertical="center" wrapText="1"/>
    </xf>
    <xf numFmtId="0" fontId="5" fillId="0" borderId="6" xfId="1" applyFont="1" applyBorder="1" applyAlignment="1">
      <alignment wrapText="1"/>
    </xf>
    <xf numFmtId="0" fontId="5" fillId="3" borderId="9" xfId="1" applyFont="1" applyFill="1" applyBorder="1" applyAlignment="1">
      <alignment vertical="center" wrapText="1"/>
    </xf>
    <xf numFmtId="0" fontId="5" fillId="0" borderId="1" xfId="1" applyFont="1" applyBorder="1" applyAlignment="1">
      <alignment vertical="center" wrapText="1"/>
    </xf>
    <xf numFmtId="0" fontId="11" fillId="0" borderId="1" xfId="1" applyFont="1" applyBorder="1" applyAlignment="1">
      <alignment vertical="center" wrapText="1"/>
    </xf>
    <xf numFmtId="0" fontId="5" fillId="0" borderId="11" xfId="1" applyFont="1" applyBorder="1" applyAlignment="1">
      <alignment wrapText="1"/>
    </xf>
    <xf numFmtId="0" fontId="11" fillId="12" borderId="4" xfId="1" applyFont="1" applyFill="1" applyBorder="1" applyAlignment="1">
      <alignment horizontal="center" vertical="center" wrapText="1"/>
    </xf>
    <xf numFmtId="0" fontId="16" fillId="12" borderId="4" xfId="1" applyFont="1" applyFill="1" applyBorder="1" applyAlignment="1">
      <alignment horizontal="left" vertical="center" wrapText="1" readingOrder="1"/>
    </xf>
    <xf numFmtId="0" fontId="16" fillId="0" borderId="4" xfId="1" applyFont="1" applyBorder="1" applyAlignment="1">
      <alignment horizontal="center" vertical="center" wrapText="1" readingOrder="1"/>
    </xf>
    <xf numFmtId="0" fontId="16" fillId="0" borderId="4" xfId="1" applyFont="1" applyBorder="1" applyAlignment="1">
      <alignment horizontal="left" vertical="center" wrapText="1" readingOrder="1"/>
    </xf>
    <xf numFmtId="0" fontId="5" fillId="3" borderId="13" xfId="1" applyFont="1" applyFill="1" applyBorder="1" applyAlignment="1">
      <alignment vertical="center" wrapText="1"/>
    </xf>
    <xf numFmtId="0" fontId="5" fillId="3" borderId="13" xfId="1" applyFont="1" applyFill="1" applyBorder="1" applyAlignment="1">
      <alignment wrapText="1"/>
    </xf>
    <xf numFmtId="0" fontId="11" fillId="3" borderId="13" xfId="1" applyFont="1" applyFill="1" applyBorder="1" applyAlignment="1">
      <alignment vertical="center" wrapText="1"/>
    </xf>
    <xf numFmtId="168" fontId="5" fillId="0" borderId="13" xfId="1" applyNumberFormat="1" applyFont="1" applyBorder="1" applyAlignment="1">
      <alignment vertical="center" wrapText="1"/>
    </xf>
    <xf numFmtId="0" fontId="5" fillId="0" borderId="13" xfId="1" applyFont="1" applyBorder="1" applyAlignment="1">
      <alignment wrapText="1"/>
    </xf>
    <xf numFmtId="0" fontId="5" fillId="14" borderId="16" xfId="1" applyFont="1" applyFill="1" applyBorder="1" applyAlignment="1">
      <alignment horizontal="center" vertical="center" wrapText="1"/>
    </xf>
    <xf numFmtId="0" fontId="5" fillId="4" borderId="0" xfId="1" applyFont="1" applyFill="1" applyAlignment="1">
      <alignment horizontal="center"/>
    </xf>
    <xf numFmtId="0" fontId="9" fillId="0" borderId="0" xfId="1" applyFont="1"/>
    <xf numFmtId="0" fontId="5" fillId="2" borderId="6" xfId="1" applyFont="1" applyFill="1" applyBorder="1" applyAlignment="1">
      <alignment horizontal="center" wrapText="1"/>
    </xf>
    <xf numFmtId="0" fontId="5" fillId="2" borderId="7" xfId="1" applyFont="1" applyFill="1" applyBorder="1" applyAlignment="1">
      <alignment horizontal="center" wrapText="1"/>
    </xf>
    <xf numFmtId="0" fontId="1" fillId="2" borderId="6" xfId="1" applyFont="1" applyFill="1" applyBorder="1" applyAlignment="1">
      <alignment horizontal="center" wrapText="1"/>
    </xf>
    <xf numFmtId="0" fontId="1" fillId="2" borderId="7" xfId="1" applyFont="1" applyFill="1" applyBorder="1" applyAlignment="1">
      <alignment horizontal="center" wrapText="1"/>
    </xf>
    <xf numFmtId="0" fontId="5" fillId="2" borderId="6" xfId="1" applyFont="1" applyFill="1" applyBorder="1" applyAlignment="1">
      <alignment horizontal="center" vertical="top" wrapText="1"/>
    </xf>
    <xf numFmtId="0" fontId="10" fillId="0" borderId="7" xfId="1" applyFont="1" applyBorder="1" applyAlignment="1">
      <alignment wrapText="1"/>
    </xf>
    <xf numFmtId="0" fontId="5" fillId="2" borderId="6" xfId="1" applyFont="1" applyFill="1" applyBorder="1" applyAlignment="1">
      <alignment horizontal="center" vertical="center" wrapText="1"/>
    </xf>
    <xf numFmtId="0" fontId="10" fillId="0" borderId="7" xfId="1" applyFont="1" applyBorder="1" applyAlignment="1">
      <alignment horizontal="center" vertical="center" wrapText="1"/>
    </xf>
    <xf numFmtId="0" fontId="5" fillId="11" borderId="14" xfId="1" applyFont="1" applyFill="1" applyBorder="1" applyAlignment="1">
      <alignment horizontal="center" vertical="center" wrapText="1"/>
    </xf>
    <xf numFmtId="0" fontId="5" fillId="11" borderId="0" xfId="1" applyFont="1" applyFill="1" applyAlignment="1">
      <alignment horizontal="center" vertical="center" wrapText="1"/>
    </xf>
    <xf numFmtId="0" fontId="5" fillId="11" borderId="15" xfId="1" applyFont="1" applyFill="1" applyBorder="1" applyAlignment="1">
      <alignment horizontal="center" vertical="center" wrapText="1"/>
    </xf>
    <xf numFmtId="0" fontId="5" fillId="13" borderId="12" xfId="1" applyFont="1" applyFill="1" applyBorder="1" applyAlignment="1">
      <alignment horizontal="center" vertical="center" wrapText="1"/>
    </xf>
    <xf numFmtId="0" fontId="5" fillId="13" borderId="2" xfId="1" applyFont="1" applyFill="1" applyBorder="1" applyAlignment="1">
      <alignment horizontal="center" vertical="center" wrapText="1"/>
    </xf>
    <xf numFmtId="0" fontId="4" fillId="10" borderId="0" xfId="1" applyFont="1" applyFill="1" applyAlignment="1">
      <alignment horizontal="center"/>
    </xf>
    <xf numFmtId="0" fontId="11" fillId="0" borderId="18"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5" xfId="0" applyFont="1" applyBorder="1" applyAlignment="1">
      <alignment horizontal="center" vertical="center" wrapText="1"/>
    </xf>
    <xf numFmtId="0" fontId="5" fillId="2" borderId="7" xfId="1" applyFont="1" applyFill="1" applyBorder="1" applyAlignment="1">
      <alignment horizontal="center" vertical="center" wrapText="1"/>
    </xf>
    <xf numFmtId="0" fontId="5" fillId="2" borderId="9" xfId="1" applyFont="1" applyFill="1" applyBorder="1" applyAlignment="1">
      <alignment horizontal="center" vertical="center" wrapText="1"/>
    </xf>
    <xf numFmtId="0" fontId="5" fillId="2" borderId="10" xfId="1" applyFont="1" applyFill="1" applyBorder="1" applyAlignment="1">
      <alignment horizontal="center" vertical="center" wrapText="1"/>
    </xf>
    <xf numFmtId="0" fontId="5" fillId="2" borderId="11" xfId="1" applyFont="1" applyFill="1" applyBorder="1" applyAlignment="1">
      <alignment horizontal="center" vertical="center" wrapText="1"/>
    </xf>
    <xf numFmtId="0" fontId="7" fillId="5" borderId="6" xfId="0" applyFont="1" applyFill="1" applyBorder="1" applyAlignment="1">
      <alignment horizontal="center"/>
    </xf>
    <xf numFmtId="0" fontId="3" fillId="0" borderId="6" xfId="0" applyFont="1" applyBorder="1"/>
    <xf numFmtId="0" fontId="0" fillId="0" borderId="6" xfId="0" applyBorder="1"/>
    <xf numFmtId="0" fontId="2" fillId="0" borderId="6" xfId="0" applyFont="1" applyBorder="1" applyAlignment="1">
      <alignment horizontal="center"/>
    </xf>
    <xf numFmtId="169" fontId="2" fillId="0" borderId="6" xfId="1" applyNumberFormat="1" applyFont="1" applyBorder="1" applyAlignment="1">
      <alignment horizontal="right"/>
    </xf>
    <xf numFmtId="0" fontId="11" fillId="0" borderId="4" xfId="0" applyFont="1" applyFill="1" applyBorder="1" applyAlignment="1">
      <alignment wrapText="1"/>
    </xf>
    <xf numFmtId="0" fontId="11" fillId="0" borderId="0" xfId="0" applyFont="1" applyFill="1" applyBorder="1" applyAlignment="1">
      <alignment wrapText="1"/>
    </xf>
    <xf numFmtId="0" fontId="17" fillId="0" borderId="0" xfId="0" applyFont="1"/>
    <xf numFmtId="0" fontId="18" fillId="0" borderId="0" xfId="0" applyFont="1"/>
    <xf numFmtId="0" fontId="17" fillId="0" borderId="0" xfId="0" applyFont="1" applyAlignment="1">
      <alignment wrapText="1"/>
    </xf>
    <xf numFmtId="0" fontId="19" fillId="0" borderId="0" xfId="0" applyFont="1"/>
    <xf numFmtId="0" fontId="20" fillId="0" borderId="0" xfId="0" applyFont="1"/>
    <xf numFmtId="0" fontId="21" fillId="0" borderId="0" xfId="0" applyFont="1"/>
    <xf numFmtId="0" fontId="22" fillId="0" borderId="0" xfId="0" applyFont="1"/>
    <xf numFmtId="0" fontId="14" fillId="0" borderId="0" xfId="0" applyFont="1" applyAlignment="1">
      <alignment wrapText="1"/>
    </xf>
    <xf numFmtId="0" fontId="23" fillId="0" borderId="0" xfId="0" applyFont="1"/>
    <xf numFmtId="0" fontId="23" fillId="0" borderId="0" xfId="0" applyFont="1" applyAlignment="1">
      <alignment wrapText="1"/>
    </xf>
    <xf numFmtId="0" fontId="18" fillId="0" borderId="0" xfId="0" applyFont="1" applyAlignment="1">
      <alignment wrapText="1"/>
    </xf>
    <xf numFmtId="0" fontId="18" fillId="0" borderId="0" xfId="0" applyFont="1"/>
    <xf numFmtId="0" fontId="17" fillId="0" borderId="0" xfId="0" applyFont="1"/>
  </cellXfs>
  <cellStyles count="2">
    <cellStyle name="Normal" xfId="0" builtinId="0"/>
    <cellStyle name="Normal 2" xfId="1" xr:uid="{7E408297-1393-4EFF-9A75-0DC7434ACA89}"/>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BB21E-59C3-443B-868D-827DC67ABCB5}">
  <dimension ref="A4:G15"/>
  <sheetViews>
    <sheetView zoomScale="158" workbookViewId="0">
      <selection activeCell="E13" sqref="E13"/>
    </sheetView>
  </sheetViews>
  <sheetFormatPr baseColWidth="10" defaultColWidth="8.83203125" defaultRowHeight="13" x14ac:dyDescent="0.15"/>
  <sheetData>
    <row r="4" spans="1:7" x14ac:dyDescent="0.15">
      <c r="A4" s="75"/>
    </row>
    <row r="8" spans="1:7" x14ac:dyDescent="0.15">
      <c r="B8" s="75"/>
    </row>
    <row r="11" spans="1:7" x14ac:dyDescent="0.15">
      <c r="E11" s="75"/>
    </row>
    <row r="12" spans="1:7" x14ac:dyDescent="0.15">
      <c r="D12" s="75"/>
      <c r="G12" s="75"/>
    </row>
    <row r="15" spans="1:7" x14ac:dyDescent="0.15">
      <c r="D15" s="7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B4E5D-16B7-429D-ADC4-8881BE630D23}">
  <sheetPr>
    <outlinePr summaryBelow="0" summaryRight="0"/>
  </sheetPr>
  <dimension ref="A1:V49"/>
  <sheetViews>
    <sheetView topLeftCell="A6" zoomScaleNormal="120" workbookViewId="0">
      <selection activeCell="C10" sqref="C10"/>
    </sheetView>
  </sheetViews>
  <sheetFormatPr baseColWidth="10" defaultColWidth="14.5" defaultRowHeight="15" customHeight="1" x14ac:dyDescent="0.2"/>
  <cols>
    <col min="1" max="1" width="16.33203125" style="45" customWidth="1"/>
    <col min="2" max="2" width="22.6640625" style="63" bestFit="1" customWidth="1"/>
    <col min="3" max="3" width="52.33203125" style="69" bestFit="1" customWidth="1"/>
    <col min="4" max="4" width="96.33203125" style="61" customWidth="1"/>
    <col min="5" max="5" width="14.5" style="68" customWidth="1"/>
    <col min="6" max="6" width="14.5" style="61" customWidth="1"/>
    <col min="7" max="8" width="9.5" style="43" customWidth="1"/>
    <col min="9" max="9" width="14.5" style="43" customWidth="1"/>
    <col min="10" max="10" width="14.5" style="25" customWidth="1"/>
    <col min="11" max="11" width="70.33203125" style="25" customWidth="1"/>
    <col min="12" max="12" width="15.5" style="25" bestFit="1" customWidth="1"/>
    <col min="13" max="15" width="14.5" style="25" customWidth="1"/>
    <col min="16" max="16" width="15.5" style="25" bestFit="1" customWidth="1"/>
    <col min="17" max="17" width="14.5" style="25" customWidth="1"/>
    <col min="18" max="16384" width="14.5" style="25"/>
  </cols>
  <sheetData>
    <row r="1" spans="1:12" ht="16" x14ac:dyDescent="0.2">
      <c r="A1" s="100" t="s">
        <v>0</v>
      </c>
      <c r="B1" s="102" t="s">
        <v>1</v>
      </c>
      <c r="C1" s="102" t="s">
        <v>2</v>
      </c>
      <c r="D1" s="102" t="s">
        <v>3</v>
      </c>
      <c r="E1" s="114" t="s">
        <v>4</v>
      </c>
      <c r="F1" s="115"/>
      <c r="G1" s="115"/>
      <c r="H1" s="116"/>
      <c r="I1" s="102" t="s">
        <v>5</v>
      </c>
      <c r="J1" s="96" t="s">
        <v>6</v>
      </c>
      <c r="K1" s="96" t="s">
        <v>7</v>
      </c>
      <c r="L1" s="98" t="s">
        <v>8</v>
      </c>
    </row>
    <row r="2" spans="1:12" ht="17" x14ac:dyDescent="0.2">
      <c r="A2" s="101"/>
      <c r="B2" s="103"/>
      <c r="C2" s="103"/>
      <c r="D2" s="113"/>
      <c r="E2" s="26" t="s">
        <v>9</v>
      </c>
      <c r="F2" s="26" t="s">
        <v>10</v>
      </c>
      <c r="G2" s="26" t="s">
        <v>11</v>
      </c>
      <c r="H2" s="26" t="s">
        <v>12</v>
      </c>
      <c r="I2" s="113"/>
      <c r="J2" s="97"/>
      <c r="K2" s="97"/>
      <c r="L2" s="99"/>
    </row>
    <row r="3" spans="1:12" ht="17" x14ac:dyDescent="0.2">
      <c r="A3" s="104" t="s">
        <v>10</v>
      </c>
      <c r="B3" s="84" t="s">
        <v>13</v>
      </c>
      <c r="C3" s="85" t="s">
        <v>14</v>
      </c>
      <c r="D3" s="73" t="s">
        <v>15</v>
      </c>
      <c r="E3" s="27"/>
      <c r="F3" s="27">
        <v>0.5</v>
      </c>
      <c r="G3" s="28"/>
      <c r="H3" s="28"/>
      <c r="I3" s="77">
        <f>(G3*$G$19+H3*$H$19+E3*$E$19+F3*$F$19)*9</f>
        <v>495</v>
      </c>
      <c r="J3" s="28">
        <v>1</v>
      </c>
      <c r="K3" s="81"/>
      <c r="L3" s="78"/>
    </row>
    <row r="4" spans="1:12" ht="19.5" customHeight="1" x14ac:dyDescent="0.2">
      <c r="A4" s="105"/>
      <c r="B4" s="84" t="s">
        <v>16</v>
      </c>
      <c r="C4" s="85" t="s">
        <v>17</v>
      </c>
      <c r="D4" s="73" t="s">
        <v>18</v>
      </c>
      <c r="E4" s="27"/>
      <c r="F4" s="27">
        <v>0.5</v>
      </c>
      <c r="G4" s="29"/>
      <c r="H4" s="29"/>
      <c r="I4" s="77">
        <f>(G4*$G$19+H4*$H$19+E4*$E$19+F4*$F$19)*9</f>
        <v>495</v>
      </c>
      <c r="J4" s="29">
        <v>1</v>
      </c>
      <c r="K4" s="82"/>
      <c r="L4" s="29"/>
    </row>
    <row r="5" spans="1:12" ht="17" x14ac:dyDescent="0.2">
      <c r="A5" s="105"/>
      <c r="B5" s="84" t="s">
        <v>19</v>
      </c>
      <c r="C5" s="85" t="s">
        <v>20</v>
      </c>
      <c r="D5" s="73" t="s">
        <v>21</v>
      </c>
      <c r="E5" s="27"/>
      <c r="F5" s="27">
        <v>0.5</v>
      </c>
      <c r="G5" s="28"/>
      <c r="H5" s="28"/>
      <c r="I5" s="77">
        <f t="shared" ref="I5:I17" si="0">(G5*$G$19+H5*$H$19+E5*$E$19+F5*$F$19)*9</f>
        <v>495</v>
      </c>
      <c r="J5" s="28">
        <v>1</v>
      </c>
      <c r="K5" s="81"/>
      <c r="L5" s="28"/>
    </row>
    <row r="6" spans="1:12" ht="17" x14ac:dyDescent="0.2">
      <c r="A6" s="106"/>
      <c r="B6" s="84" t="s">
        <v>22</v>
      </c>
      <c r="C6" s="85" t="s">
        <v>23</v>
      </c>
      <c r="D6" s="73" t="s">
        <v>24</v>
      </c>
      <c r="E6" s="27"/>
      <c r="F6" s="27">
        <v>0.5</v>
      </c>
      <c r="G6" s="28"/>
      <c r="H6" s="28"/>
      <c r="I6" s="77">
        <f t="shared" si="0"/>
        <v>495</v>
      </c>
      <c r="J6" s="28">
        <v>1</v>
      </c>
      <c r="K6" s="81"/>
      <c r="L6" s="28"/>
    </row>
    <row r="7" spans="1:12" ht="17" x14ac:dyDescent="0.2">
      <c r="A7" s="107" t="s">
        <v>9</v>
      </c>
      <c r="B7" s="86" t="s">
        <v>25</v>
      </c>
      <c r="C7" s="87" t="s">
        <v>26</v>
      </c>
      <c r="D7" s="72" t="s">
        <v>27</v>
      </c>
      <c r="E7" s="27">
        <v>0.5</v>
      </c>
      <c r="F7" s="27"/>
      <c r="G7" s="28"/>
      <c r="H7" s="28"/>
      <c r="I7" s="77">
        <f t="shared" si="0"/>
        <v>630</v>
      </c>
      <c r="J7" s="28">
        <v>1</v>
      </c>
      <c r="K7" s="81"/>
      <c r="L7" s="28"/>
    </row>
    <row r="8" spans="1:12" ht="68" x14ac:dyDescent="0.2">
      <c r="A8" s="108"/>
      <c r="B8" s="67" t="s">
        <v>28</v>
      </c>
      <c r="C8" s="74" t="s">
        <v>29</v>
      </c>
      <c r="D8" s="72" t="s">
        <v>30</v>
      </c>
      <c r="E8" s="72">
        <v>1</v>
      </c>
      <c r="F8" s="27"/>
      <c r="G8" s="28"/>
      <c r="H8" s="28"/>
      <c r="I8" s="77">
        <f t="shared" si="0"/>
        <v>1260</v>
      </c>
      <c r="J8" s="28">
        <v>1</v>
      </c>
      <c r="K8" s="81"/>
      <c r="L8" s="28"/>
    </row>
    <row r="9" spans="1:12" ht="82.5" customHeight="1" x14ac:dyDescent="0.2">
      <c r="A9" s="108"/>
      <c r="B9" s="110" t="s">
        <v>31</v>
      </c>
      <c r="C9" s="74" t="s">
        <v>32</v>
      </c>
      <c r="D9" s="72" t="s">
        <v>33</v>
      </c>
      <c r="E9" s="72">
        <v>3</v>
      </c>
      <c r="F9" s="27"/>
      <c r="G9" s="28"/>
      <c r="H9" s="28"/>
      <c r="I9" s="77">
        <f t="shared" si="0"/>
        <v>3780</v>
      </c>
      <c r="J9" s="28">
        <v>1</v>
      </c>
      <c r="K9" s="81"/>
      <c r="L9" s="28"/>
    </row>
    <row r="10" spans="1:12" ht="85.5" customHeight="1" x14ac:dyDescent="0.2">
      <c r="A10" s="108"/>
      <c r="B10" s="111"/>
      <c r="C10" s="74" t="s">
        <v>89</v>
      </c>
      <c r="D10" s="122" t="s">
        <v>91</v>
      </c>
      <c r="E10" s="72">
        <v>2</v>
      </c>
      <c r="F10" s="27"/>
      <c r="G10" s="28"/>
      <c r="H10" s="28"/>
      <c r="I10" s="77">
        <f t="shared" si="0"/>
        <v>2520</v>
      </c>
      <c r="J10" s="28">
        <v>1</v>
      </c>
      <c r="K10" s="81"/>
      <c r="L10" s="28"/>
    </row>
    <row r="11" spans="1:12" ht="85.5" customHeight="1" x14ac:dyDescent="0.2">
      <c r="A11" s="108"/>
      <c r="B11" s="111"/>
      <c r="C11" s="74" t="s">
        <v>90</v>
      </c>
      <c r="D11" s="123" t="s">
        <v>92</v>
      </c>
      <c r="E11" s="72">
        <v>1</v>
      </c>
      <c r="F11" s="27"/>
      <c r="G11" s="28"/>
      <c r="H11" s="28"/>
      <c r="I11" s="77">
        <f t="shared" si="0"/>
        <v>1260</v>
      </c>
      <c r="J11" s="28">
        <v>1</v>
      </c>
      <c r="K11" s="81"/>
      <c r="L11" s="28"/>
    </row>
    <row r="12" spans="1:12" ht="99.75" customHeight="1" x14ac:dyDescent="0.2">
      <c r="A12" s="108"/>
      <c r="B12" s="111"/>
      <c r="C12" s="27" t="s">
        <v>34</v>
      </c>
      <c r="D12" s="76" t="s">
        <v>35</v>
      </c>
      <c r="E12" s="72">
        <v>3.5</v>
      </c>
      <c r="F12" s="27"/>
      <c r="G12" s="28"/>
      <c r="H12" s="28"/>
      <c r="I12" s="77">
        <f t="shared" si="0"/>
        <v>4410</v>
      </c>
      <c r="J12" s="28">
        <v>1</v>
      </c>
      <c r="K12" s="81"/>
      <c r="L12" s="28"/>
    </row>
    <row r="13" spans="1:12" ht="64.5" customHeight="1" x14ac:dyDescent="0.2">
      <c r="A13" s="108"/>
      <c r="B13" s="111"/>
      <c r="C13" s="74" t="s">
        <v>36</v>
      </c>
      <c r="D13" s="72" t="s">
        <v>37</v>
      </c>
      <c r="E13" s="72">
        <v>0.5</v>
      </c>
      <c r="F13" s="27"/>
      <c r="G13" s="28"/>
      <c r="H13" s="28"/>
      <c r="I13" s="77">
        <f t="shared" si="0"/>
        <v>630</v>
      </c>
      <c r="J13" s="28">
        <v>1</v>
      </c>
      <c r="K13" s="81"/>
      <c r="L13" s="28"/>
    </row>
    <row r="14" spans="1:12" ht="87" customHeight="1" x14ac:dyDescent="0.2">
      <c r="A14" s="108"/>
      <c r="B14" s="112"/>
      <c r="C14" s="74" t="s">
        <v>38</v>
      </c>
      <c r="D14" s="72" t="s">
        <v>39</v>
      </c>
      <c r="E14" s="72">
        <v>1.5</v>
      </c>
      <c r="F14" s="27"/>
      <c r="G14" s="28"/>
      <c r="H14" s="28"/>
      <c r="I14" s="77">
        <f t="shared" si="0"/>
        <v>1890</v>
      </c>
      <c r="J14" s="28">
        <v>1</v>
      </c>
      <c r="K14" s="81"/>
      <c r="L14" s="28"/>
    </row>
    <row r="15" spans="1:12" ht="34" customHeight="1" x14ac:dyDescent="0.2">
      <c r="A15" s="108"/>
      <c r="B15" s="67" t="s">
        <v>40</v>
      </c>
      <c r="C15" s="74" t="s">
        <v>41</v>
      </c>
      <c r="D15" s="72" t="s">
        <v>42</v>
      </c>
      <c r="E15" s="66">
        <v>1.5</v>
      </c>
      <c r="F15" s="27"/>
      <c r="G15" s="28"/>
      <c r="H15" s="28"/>
      <c r="I15" s="77">
        <f t="shared" si="0"/>
        <v>1890</v>
      </c>
      <c r="J15" s="28">
        <v>1</v>
      </c>
      <c r="K15" s="81"/>
      <c r="L15" s="28"/>
    </row>
    <row r="16" spans="1:12" ht="51" customHeight="1" x14ac:dyDescent="0.2">
      <c r="A16" s="108"/>
      <c r="B16" s="67" t="s">
        <v>43</v>
      </c>
      <c r="C16" s="74" t="s">
        <v>44</v>
      </c>
      <c r="D16" s="72" t="s">
        <v>45</v>
      </c>
      <c r="E16" s="66">
        <v>1</v>
      </c>
      <c r="F16" s="27"/>
      <c r="G16" s="28"/>
      <c r="H16" s="28"/>
      <c r="I16" s="77">
        <f t="shared" si="0"/>
        <v>1260</v>
      </c>
      <c r="J16" s="28">
        <v>1</v>
      </c>
      <c r="K16" s="81"/>
      <c r="L16" s="28"/>
    </row>
    <row r="17" spans="1:22" ht="34" x14ac:dyDescent="0.2">
      <c r="A17" s="93" t="s">
        <v>9</v>
      </c>
      <c r="B17" s="67" t="s">
        <v>46</v>
      </c>
      <c r="C17" s="74" t="s">
        <v>47</v>
      </c>
      <c r="D17" s="72" t="s">
        <v>48</v>
      </c>
      <c r="E17" s="66">
        <v>1</v>
      </c>
      <c r="F17" s="27"/>
      <c r="G17" s="28"/>
      <c r="H17" s="28"/>
      <c r="I17" s="77">
        <f t="shared" si="0"/>
        <v>1260</v>
      </c>
      <c r="J17" s="28">
        <v>1</v>
      </c>
      <c r="K17" s="30"/>
      <c r="L17" s="30"/>
    </row>
    <row r="18" spans="1:22" ht="15" customHeight="1" x14ac:dyDescent="0.2">
      <c r="A18" s="80"/>
      <c r="B18" s="88"/>
      <c r="C18" s="88"/>
      <c r="D18" s="89"/>
      <c r="E18" s="89">
        <f>SUM(E1:E17)</f>
        <v>16.5</v>
      </c>
      <c r="F18" s="89">
        <f>SUM(F3:F17)</f>
        <v>2</v>
      </c>
      <c r="G18" s="90">
        <f>SUM(G4:G16)</f>
        <v>0</v>
      </c>
      <c r="H18" s="90">
        <f>SUM(H4:H16)</f>
        <v>0</v>
      </c>
      <c r="I18" s="91">
        <f>(G18*$G$19+H18*$H$19+E18*$E$19+F18*$F$19)*9</f>
        <v>22770</v>
      </c>
      <c r="J18" s="92">
        <v>1</v>
      </c>
      <c r="K18" s="83"/>
      <c r="L18" s="79"/>
    </row>
    <row r="19" spans="1:22" ht="15" customHeight="1" x14ac:dyDescent="0.2">
      <c r="A19" s="32"/>
      <c r="B19" s="33"/>
      <c r="C19" s="31"/>
      <c r="D19" s="35"/>
      <c r="E19" s="70">
        <v>140</v>
      </c>
      <c r="F19" s="36">
        <v>110</v>
      </c>
      <c r="G19" s="37"/>
      <c r="H19" s="38"/>
      <c r="I19" s="39"/>
      <c r="J19" s="35"/>
      <c r="K19" s="35"/>
      <c r="L19" s="35"/>
    </row>
    <row r="20" spans="1:22" ht="15" customHeight="1" x14ac:dyDescent="0.2">
      <c r="A20" s="32"/>
      <c r="B20" s="33"/>
      <c r="C20" s="31"/>
      <c r="D20" s="35"/>
      <c r="F20" s="35"/>
      <c r="G20" s="40"/>
      <c r="H20" s="40"/>
      <c r="I20" s="31"/>
      <c r="J20" s="35"/>
      <c r="K20" s="35"/>
      <c r="L20" s="35"/>
    </row>
    <row r="21" spans="1:22" ht="15" customHeight="1" x14ac:dyDescent="0.2">
      <c r="A21" s="32"/>
      <c r="B21" s="31"/>
      <c r="C21" s="33"/>
      <c r="D21" s="41"/>
      <c r="E21" s="71"/>
      <c r="F21" s="41"/>
      <c r="G21" s="42"/>
      <c r="H21" s="42"/>
      <c r="I21" s="31"/>
      <c r="J21" s="35"/>
      <c r="K21" s="35"/>
      <c r="L21" s="35"/>
    </row>
    <row r="22" spans="1:22" ht="15" customHeight="1" x14ac:dyDescent="0.2">
      <c r="A22" s="32"/>
      <c r="B22" s="32"/>
      <c r="C22" s="32"/>
      <c r="D22" s="32"/>
      <c r="E22" s="71"/>
      <c r="F22" s="34"/>
      <c r="G22" s="40"/>
      <c r="H22" s="40"/>
      <c r="I22" s="40"/>
      <c r="J22" s="35"/>
      <c r="K22" s="35" t="s">
        <v>49</v>
      </c>
      <c r="L22" s="35"/>
    </row>
    <row r="23" spans="1:22" ht="15" customHeight="1" x14ac:dyDescent="0.2">
      <c r="A23" s="32"/>
      <c r="B23" s="32"/>
      <c r="C23" s="32" t="s">
        <v>88</v>
      </c>
      <c r="D23" s="32"/>
      <c r="F23" s="35"/>
      <c r="G23" s="42"/>
      <c r="H23" s="40"/>
      <c r="J23" s="35"/>
      <c r="K23" s="35"/>
      <c r="L23" s="35"/>
      <c r="Q23" s="25" t="s">
        <v>49</v>
      </c>
    </row>
    <row r="24" spans="1:22" ht="15" customHeight="1" x14ac:dyDescent="0.2">
      <c r="A24" s="32"/>
      <c r="B24" s="32"/>
      <c r="C24" s="32"/>
      <c r="D24" s="32"/>
      <c r="F24" s="35"/>
      <c r="G24" s="42"/>
      <c r="H24" s="40"/>
      <c r="J24" s="35"/>
      <c r="K24" s="35"/>
      <c r="L24" s="35"/>
    </row>
    <row r="25" spans="1:22" ht="15" customHeight="1" x14ac:dyDescent="0.2">
      <c r="A25" s="32"/>
      <c r="B25" s="32"/>
      <c r="C25" s="32"/>
      <c r="D25" s="32"/>
      <c r="F25" s="35"/>
      <c r="G25" s="40"/>
      <c r="H25" s="44"/>
      <c r="J25" s="35"/>
      <c r="K25" s="35"/>
      <c r="L25" s="35"/>
      <c r="R25" s="109" t="s">
        <v>50</v>
      </c>
      <c r="S25" s="109"/>
      <c r="T25" s="109"/>
      <c r="U25" s="109"/>
    </row>
    <row r="26" spans="1:22" ht="16" x14ac:dyDescent="0.2">
      <c r="A26" s="32"/>
      <c r="B26" s="32"/>
      <c r="C26" s="32"/>
      <c r="D26" s="32"/>
      <c r="F26" s="35"/>
      <c r="G26" s="40"/>
      <c r="H26" s="40"/>
      <c r="M26" s="94" t="s">
        <v>51</v>
      </c>
      <c r="N26" s="95"/>
      <c r="O26" s="95"/>
      <c r="P26" s="95"/>
      <c r="Q26" s="45"/>
      <c r="R26" s="46" t="s">
        <v>52</v>
      </c>
      <c r="S26" s="46" t="s">
        <v>53</v>
      </c>
      <c r="T26" s="46" t="s">
        <v>54</v>
      </c>
      <c r="U26" s="46" t="s">
        <v>55</v>
      </c>
    </row>
    <row r="27" spans="1:22" ht="16" x14ac:dyDescent="0.2">
      <c r="A27" s="32"/>
      <c r="B27" s="32"/>
      <c r="C27" s="32"/>
      <c r="D27" s="32"/>
      <c r="F27" s="35"/>
      <c r="G27" s="47"/>
      <c r="H27" s="47"/>
      <c r="M27" s="48" t="s">
        <v>9</v>
      </c>
      <c r="N27" s="121">
        <f>E18</f>
        <v>16.5</v>
      </c>
      <c r="O27" s="50">
        <v>140</v>
      </c>
      <c r="P27" s="51">
        <f t="shared" ref="P27:P31" si="1">N27*O27*9</f>
        <v>20790</v>
      </c>
      <c r="Q27" s="45"/>
      <c r="R27" s="52" t="s">
        <v>9</v>
      </c>
      <c r="S27" s="53"/>
      <c r="T27" s="53"/>
      <c r="U27" s="53"/>
      <c r="V27" s="54">
        <f>SUM(S27:U27)</f>
        <v>0</v>
      </c>
    </row>
    <row r="28" spans="1:22" ht="16" x14ac:dyDescent="0.2">
      <c r="A28" s="32"/>
      <c r="B28" s="32"/>
      <c r="C28" s="32"/>
      <c r="D28" s="32"/>
      <c r="F28" s="35"/>
      <c r="G28" s="40"/>
      <c r="H28" s="40"/>
      <c r="M28" s="48" t="s">
        <v>56</v>
      </c>
      <c r="N28" s="49">
        <f>F18</f>
        <v>2</v>
      </c>
      <c r="O28" s="55">
        <v>120</v>
      </c>
      <c r="P28" s="51">
        <f t="shared" si="1"/>
        <v>2160</v>
      </c>
      <c r="Q28" s="45"/>
      <c r="R28" s="52" t="s">
        <v>56</v>
      </c>
      <c r="S28" s="53"/>
      <c r="T28" s="53"/>
      <c r="U28" s="53"/>
      <c r="V28" s="54">
        <f>SUM(S28:U28)</f>
        <v>0</v>
      </c>
    </row>
    <row r="29" spans="1:22" ht="15" customHeight="1" x14ac:dyDescent="0.2">
      <c r="A29" s="32"/>
      <c r="B29" s="32"/>
      <c r="C29" s="32"/>
      <c r="D29" s="32"/>
      <c r="F29" s="35"/>
      <c r="G29" s="40"/>
      <c r="H29" s="40"/>
      <c r="L29" s="56"/>
      <c r="M29" s="48" t="s">
        <v>57</v>
      </c>
      <c r="N29" s="49">
        <v>3</v>
      </c>
      <c r="O29" s="55">
        <v>115</v>
      </c>
      <c r="P29" s="51">
        <f>N29*O29*9</f>
        <v>3105</v>
      </c>
      <c r="Q29" s="45"/>
      <c r="R29" s="52" t="s">
        <v>57</v>
      </c>
      <c r="S29" s="53"/>
      <c r="T29" s="53"/>
      <c r="U29" s="53"/>
      <c r="V29" s="54">
        <f>SUM(S29:U29)</f>
        <v>0</v>
      </c>
    </row>
    <row r="30" spans="1:22" ht="15" customHeight="1" x14ac:dyDescent="0.2">
      <c r="A30" s="32"/>
      <c r="B30" s="32"/>
      <c r="C30" s="32"/>
      <c r="D30" s="32"/>
      <c r="F30" s="35"/>
      <c r="I30" s="40"/>
      <c r="L30" s="56"/>
      <c r="M30" s="48" t="s">
        <v>58</v>
      </c>
      <c r="N30" s="49">
        <v>2</v>
      </c>
      <c r="O30" s="55">
        <v>115</v>
      </c>
      <c r="P30" s="51">
        <f t="shared" si="1"/>
        <v>2070</v>
      </c>
      <c r="Q30" s="45"/>
      <c r="R30" s="52" t="s">
        <v>58</v>
      </c>
      <c r="S30" s="53"/>
      <c r="T30" s="53"/>
      <c r="U30" s="53"/>
      <c r="V30" s="54">
        <f>SUM(S30:U30)</f>
        <v>0</v>
      </c>
    </row>
    <row r="31" spans="1:22" ht="15" customHeight="1" x14ac:dyDescent="0.2">
      <c r="A31" s="32"/>
      <c r="B31" s="32"/>
      <c r="C31" s="32"/>
      <c r="D31" s="32"/>
      <c r="F31" s="35"/>
      <c r="M31" s="48" t="s">
        <v>59</v>
      </c>
      <c r="N31" s="49">
        <v>1</v>
      </c>
      <c r="O31" s="55">
        <v>140</v>
      </c>
      <c r="P31" s="51">
        <f t="shared" si="1"/>
        <v>1260</v>
      </c>
      <c r="Q31" s="45"/>
      <c r="R31" s="52" t="s">
        <v>59</v>
      </c>
      <c r="S31" s="53"/>
      <c r="T31" s="53"/>
      <c r="U31" s="53"/>
      <c r="V31" s="54">
        <f>SUM(S31:U31)</f>
        <v>0</v>
      </c>
    </row>
    <row r="32" spans="1:22" ht="15" customHeight="1" x14ac:dyDescent="0.2">
      <c r="A32" s="32"/>
      <c r="B32" s="32"/>
      <c r="C32" s="32"/>
      <c r="D32" s="32"/>
      <c r="F32" s="35"/>
      <c r="N32" s="57">
        <f>SUM(N27:N31)</f>
        <v>24.5</v>
      </c>
      <c r="P32" s="58">
        <f>SUM(P27:P31)</f>
        <v>29385</v>
      </c>
      <c r="Q32" s="45"/>
      <c r="R32" s="59"/>
      <c r="V32" s="25">
        <f>SUM(V27:V31)</f>
        <v>0</v>
      </c>
    </row>
    <row r="33" spans="1:22" ht="15" customHeight="1" x14ac:dyDescent="0.2">
      <c r="A33" s="32"/>
      <c r="B33" s="32"/>
      <c r="C33" s="32"/>
      <c r="D33" s="32"/>
      <c r="F33" s="35"/>
      <c r="J33" s="45"/>
      <c r="K33" s="45"/>
      <c r="L33" s="45"/>
      <c r="P33" s="60"/>
    </row>
    <row r="34" spans="1:22" ht="15" customHeight="1" x14ac:dyDescent="0.2">
      <c r="A34" s="32"/>
      <c r="B34" s="32"/>
      <c r="C34" s="32"/>
      <c r="D34" s="32"/>
      <c r="P34" s="45"/>
      <c r="R34" s="60"/>
    </row>
    <row r="35" spans="1:22" ht="16" x14ac:dyDescent="0.2">
      <c r="A35" s="32"/>
      <c r="B35" s="32"/>
      <c r="C35" s="32"/>
      <c r="D35" s="32"/>
      <c r="N35" s="57"/>
      <c r="P35" s="58"/>
    </row>
    <row r="36" spans="1:22" ht="16" x14ac:dyDescent="0.2">
      <c r="A36" s="32"/>
      <c r="B36" s="32"/>
      <c r="C36" s="32"/>
      <c r="D36" s="32"/>
      <c r="P36" s="62"/>
    </row>
    <row r="37" spans="1:22" ht="16" x14ac:dyDescent="0.2">
      <c r="A37" s="32"/>
      <c r="B37" s="32"/>
      <c r="C37" s="32"/>
      <c r="D37" s="32"/>
    </row>
    <row r="38" spans="1:22" ht="16" x14ac:dyDescent="0.2">
      <c r="A38" s="32"/>
      <c r="B38" s="32"/>
      <c r="C38" s="32"/>
      <c r="D38" s="32"/>
    </row>
    <row r="39" spans="1:22" ht="16" x14ac:dyDescent="0.2">
      <c r="A39" s="32"/>
      <c r="B39" s="32"/>
      <c r="C39" s="32"/>
      <c r="D39" s="32"/>
    </row>
    <row r="40" spans="1:22" ht="16" x14ac:dyDescent="0.2"/>
    <row r="43" spans="1:22" s="63" customFormat="1" ht="16" x14ac:dyDescent="0.2">
      <c r="A43" s="64"/>
      <c r="C43" s="69"/>
      <c r="D43" s="61"/>
      <c r="E43" s="68"/>
      <c r="F43" s="61"/>
      <c r="G43" s="43"/>
      <c r="H43" s="43"/>
      <c r="I43" s="43"/>
      <c r="J43" s="25"/>
      <c r="K43" s="25"/>
      <c r="L43" s="25"/>
      <c r="M43" s="25"/>
      <c r="N43" s="25"/>
      <c r="O43" s="25"/>
      <c r="P43" s="25"/>
      <c r="Q43" s="25"/>
      <c r="R43" s="25"/>
      <c r="S43" s="25"/>
      <c r="T43" s="25"/>
      <c r="U43" s="25"/>
      <c r="V43" s="25"/>
    </row>
    <row r="45" spans="1:22" s="63" customFormat="1" ht="16" x14ac:dyDescent="0.2">
      <c r="A45" s="65"/>
      <c r="C45" s="69"/>
      <c r="D45" s="61"/>
      <c r="E45" s="68"/>
      <c r="F45" s="61"/>
      <c r="G45" s="43"/>
      <c r="H45" s="43"/>
      <c r="I45" s="43"/>
      <c r="J45" s="25"/>
      <c r="K45" s="25"/>
      <c r="L45" s="25"/>
      <c r="M45" s="25"/>
      <c r="N45" s="25"/>
      <c r="O45" s="25"/>
      <c r="P45" s="25"/>
      <c r="Q45" s="25"/>
      <c r="R45" s="25"/>
      <c r="S45" s="25"/>
      <c r="T45" s="25"/>
      <c r="U45" s="25"/>
      <c r="V45" s="25"/>
    </row>
    <row r="46" spans="1:22" s="63" customFormat="1" ht="16" x14ac:dyDescent="0.2">
      <c r="A46" s="45"/>
      <c r="C46" s="69"/>
      <c r="D46" s="61"/>
      <c r="E46" s="68"/>
      <c r="F46" s="61"/>
      <c r="G46" s="43"/>
      <c r="H46" s="43"/>
      <c r="I46" s="43"/>
      <c r="J46" s="25"/>
      <c r="K46" s="25"/>
      <c r="L46" s="25"/>
      <c r="M46" s="25"/>
      <c r="N46" s="25"/>
      <c r="O46" s="25"/>
      <c r="P46" s="25"/>
      <c r="Q46" s="25"/>
      <c r="R46" s="25"/>
      <c r="S46" s="25"/>
      <c r="T46" s="25"/>
      <c r="U46" s="25"/>
      <c r="V46" s="25"/>
    </row>
    <row r="47" spans="1:22" s="63" customFormat="1" ht="16" x14ac:dyDescent="0.2">
      <c r="A47" s="45"/>
      <c r="C47" s="69"/>
      <c r="D47" s="61"/>
      <c r="E47" s="68"/>
      <c r="F47" s="61"/>
      <c r="G47" s="43"/>
      <c r="H47" s="43"/>
      <c r="I47" s="43"/>
      <c r="J47" s="25"/>
      <c r="K47" s="25"/>
      <c r="L47" s="25"/>
      <c r="M47" s="25"/>
      <c r="N47" s="25"/>
      <c r="O47" s="25"/>
      <c r="P47" s="25"/>
      <c r="Q47" s="25"/>
      <c r="R47" s="25"/>
      <c r="S47" s="25"/>
      <c r="T47" s="25"/>
      <c r="U47" s="25"/>
      <c r="V47" s="25"/>
    </row>
    <row r="48" spans="1:22" s="63" customFormat="1" ht="16" x14ac:dyDescent="0.2">
      <c r="A48" s="45"/>
      <c r="C48" s="69"/>
      <c r="D48" s="61"/>
      <c r="E48" s="68"/>
      <c r="F48" s="61"/>
      <c r="G48" s="43"/>
      <c r="H48" s="43"/>
      <c r="I48" s="43"/>
      <c r="J48" s="25"/>
      <c r="K48" s="25"/>
      <c r="L48" s="25"/>
      <c r="M48" s="25"/>
      <c r="N48" s="25"/>
      <c r="O48" s="25"/>
      <c r="P48" s="25"/>
      <c r="Q48" s="25"/>
      <c r="R48" s="25"/>
      <c r="S48" s="25"/>
      <c r="T48" s="25"/>
      <c r="U48" s="25"/>
      <c r="V48" s="25"/>
    </row>
    <row r="49" spans="1:22" s="63" customFormat="1" ht="16" x14ac:dyDescent="0.2">
      <c r="A49" s="45"/>
      <c r="C49" s="69"/>
      <c r="D49" s="61"/>
      <c r="E49" s="68"/>
      <c r="F49" s="61"/>
      <c r="G49" s="43"/>
      <c r="H49" s="43"/>
      <c r="I49" s="43"/>
      <c r="J49" s="25"/>
      <c r="K49" s="25"/>
      <c r="L49" s="25"/>
      <c r="M49" s="25"/>
      <c r="N49" s="25"/>
      <c r="O49" s="25"/>
      <c r="P49" s="25"/>
      <c r="Q49" s="25"/>
      <c r="R49" s="25"/>
      <c r="S49" s="25"/>
      <c r="T49" s="25"/>
      <c r="U49" s="25"/>
      <c r="V49" s="25"/>
    </row>
  </sheetData>
  <mergeCells count="14">
    <mergeCell ref="R25:U25"/>
    <mergeCell ref="B9:B14"/>
    <mergeCell ref="C1:C2"/>
    <mergeCell ref="D1:D2"/>
    <mergeCell ref="E1:H1"/>
    <mergeCell ref="I1:I2"/>
    <mergeCell ref="M26:P26"/>
    <mergeCell ref="J1:J2"/>
    <mergeCell ref="K1:K2"/>
    <mergeCell ref="L1:L2"/>
    <mergeCell ref="A1:A2"/>
    <mergeCell ref="B1:B2"/>
    <mergeCell ref="A3:A6"/>
    <mergeCell ref="A7:A16"/>
  </mergeCells>
  <conditionalFormatting sqref="I3:I18">
    <cfRule type="notContainsBlanks" dxfId="1" priority="2">
      <formula>LEN(TRIM(I3))&gt;0</formula>
    </cfRule>
  </conditionalFormatting>
  <conditionalFormatting sqref="P32:P35">
    <cfRule type="notContainsBlanks" dxfId="0" priority="1">
      <formula>LEN(TRIM(P32))&gt;0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264F3-DDE1-4187-A4F5-C97B708C7CC8}">
  <dimension ref="A1:D3"/>
  <sheetViews>
    <sheetView workbookViewId="0">
      <selection activeCell="B4" sqref="B4"/>
    </sheetView>
  </sheetViews>
  <sheetFormatPr baseColWidth="10" defaultColWidth="8.83203125" defaultRowHeight="13" x14ac:dyDescent="0.15"/>
  <cols>
    <col min="1" max="1" width="19" customWidth="1"/>
    <col min="2" max="2" width="37.5" customWidth="1"/>
    <col min="3" max="3" width="10" bestFit="1" customWidth="1"/>
    <col min="4" max="4" width="95.83203125" customWidth="1"/>
  </cols>
  <sheetData>
    <row r="1" spans="1:4" ht="51" x14ac:dyDescent="0.2">
      <c r="A1" s="132" t="s">
        <v>102</v>
      </c>
      <c r="B1" s="132" t="s">
        <v>3</v>
      </c>
      <c r="C1" s="132" t="s">
        <v>103</v>
      </c>
      <c r="D1" s="133" t="s">
        <v>104</v>
      </c>
    </row>
    <row r="2" spans="1:4" ht="16" x14ac:dyDescent="0.2">
      <c r="A2" s="135" t="s">
        <v>105</v>
      </c>
      <c r="B2" s="135" t="s">
        <v>108</v>
      </c>
      <c r="C2" s="136" t="s">
        <v>106</v>
      </c>
      <c r="D2" s="134"/>
    </row>
    <row r="3" spans="1:4" ht="102" x14ac:dyDescent="0.2">
      <c r="A3" s="135"/>
      <c r="B3" s="135"/>
      <c r="C3" s="136"/>
      <c r="D3" s="134" t="s">
        <v>107</v>
      </c>
    </row>
  </sheetData>
  <mergeCells count="3">
    <mergeCell ref="A2:A3"/>
    <mergeCell ref="B2:B3"/>
    <mergeCell ref="C2: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47"/>
  <sheetViews>
    <sheetView topLeftCell="A3" workbookViewId="0">
      <selection activeCell="B20" sqref="B20"/>
    </sheetView>
  </sheetViews>
  <sheetFormatPr baseColWidth="10" defaultColWidth="14.5" defaultRowHeight="13" x14ac:dyDescent="0.15"/>
  <cols>
    <col min="1" max="1" width="14.33203125" bestFit="1" customWidth="1"/>
    <col min="2" max="2" width="32.6640625" bestFit="1" customWidth="1"/>
    <col min="3" max="3" width="35" style="10" customWidth="1"/>
    <col min="4" max="4" width="31.33203125" hidden="1" customWidth="1"/>
    <col min="5" max="6" width="0" hidden="1" customWidth="1"/>
  </cols>
  <sheetData>
    <row r="1" spans="1:6" x14ac:dyDescent="0.15">
      <c r="A1" s="117" t="s">
        <v>60</v>
      </c>
      <c r="B1" s="118"/>
      <c r="C1" s="118"/>
      <c r="D1" s="118"/>
      <c r="E1" s="118"/>
      <c r="F1" s="118"/>
    </row>
    <row r="2" spans="1:6" x14ac:dyDescent="0.15">
      <c r="A2" s="118"/>
      <c r="B2" s="119"/>
      <c r="C2" s="119"/>
      <c r="D2" s="119"/>
      <c r="E2" s="119"/>
      <c r="F2" s="119"/>
    </row>
    <row r="3" spans="1:6" ht="15.75" customHeight="1" x14ac:dyDescent="0.2">
      <c r="A3" s="19" t="s">
        <v>61</v>
      </c>
      <c r="B3" s="19" t="s">
        <v>62</v>
      </c>
      <c r="C3" s="19" t="s">
        <v>63</v>
      </c>
      <c r="D3" s="19" t="s">
        <v>3</v>
      </c>
      <c r="E3" s="19" t="s">
        <v>64</v>
      </c>
      <c r="F3" s="19" t="s">
        <v>65</v>
      </c>
    </row>
    <row r="4" spans="1:6" ht="16" x14ac:dyDescent="0.2">
      <c r="A4" s="120" t="s">
        <v>66</v>
      </c>
      <c r="B4" s="20" t="s">
        <v>67</v>
      </c>
      <c r="C4" s="12" t="s">
        <v>68</v>
      </c>
      <c r="D4" s="11"/>
      <c r="E4" s="17"/>
      <c r="F4" s="11"/>
    </row>
    <row r="5" spans="1:6" ht="15" x14ac:dyDescent="0.2">
      <c r="A5" s="120"/>
      <c r="B5" s="20" t="s">
        <v>69</v>
      </c>
      <c r="C5" s="12"/>
      <c r="D5" s="11"/>
      <c r="E5" s="17"/>
      <c r="F5" s="11"/>
    </row>
    <row r="6" spans="1:6" ht="15" x14ac:dyDescent="0.2">
      <c r="A6" s="120"/>
      <c r="B6" s="20" t="s">
        <v>70</v>
      </c>
      <c r="C6" s="12"/>
      <c r="D6" s="11"/>
      <c r="E6" s="17"/>
      <c r="F6" s="11"/>
    </row>
    <row r="7" spans="1:6" ht="15" x14ac:dyDescent="0.2">
      <c r="A7" s="120"/>
      <c r="B7" s="20" t="s">
        <v>71</v>
      </c>
      <c r="C7" s="12"/>
      <c r="D7" s="11"/>
      <c r="E7" s="17"/>
      <c r="F7" s="11"/>
    </row>
    <row r="8" spans="1:6" ht="15" x14ac:dyDescent="0.2">
      <c r="A8" s="20" t="s">
        <v>72</v>
      </c>
      <c r="B8" s="20" t="s">
        <v>72</v>
      </c>
      <c r="C8" s="12"/>
      <c r="D8" s="11"/>
      <c r="E8" s="17"/>
      <c r="F8" s="11"/>
    </row>
    <row r="9" spans="1:6" ht="15" x14ac:dyDescent="0.2">
      <c r="A9" s="20" t="s">
        <v>73</v>
      </c>
      <c r="B9" s="20" t="s">
        <v>73</v>
      </c>
      <c r="C9" s="12"/>
      <c r="D9" s="11"/>
      <c r="E9" s="17"/>
      <c r="F9" s="11"/>
    </row>
    <row r="10" spans="1:6" ht="15" x14ac:dyDescent="0.2">
      <c r="A10" s="20" t="s">
        <v>74</v>
      </c>
      <c r="B10" s="20" t="s">
        <v>75</v>
      </c>
      <c r="C10" s="12"/>
      <c r="D10" s="11"/>
      <c r="E10" s="17"/>
      <c r="F10" s="11"/>
    </row>
    <row r="11" spans="1:6" ht="15" x14ac:dyDescent="0.2">
      <c r="A11" s="120" t="s">
        <v>76</v>
      </c>
      <c r="B11" s="20" t="s">
        <v>77</v>
      </c>
      <c r="C11" s="12"/>
      <c r="D11" s="11"/>
      <c r="E11" s="17"/>
      <c r="F11" s="11"/>
    </row>
    <row r="12" spans="1:6" ht="15" x14ac:dyDescent="0.2">
      <c r="A12" s="120"/>
      <c r="B12" s="20" t="s">
        <v>78</v>
      </c>
      <c r="C12" s="12"/>
      <c r="D12" s="11"/>
      <c r="E12" s="17"/>
      <c r="F12" s="11"/>
    </row>
    <row r="13" spans="1:6" ht="15" x14ac:dyDescent="0.2">
      <c r="A13" s="20" t="s">
        <v>79</v>
      </c>
      <c r="B13" s="20" t="s">
        <v>79</v>
      </c>
      <c r="C13" s="12"/>
      <c r="D13" s="11"/>
      <c r="E13" s="17"/>
      <c r="F13" s="11"/>
    </row>
    <row r="14" spans="1:6" ht="15" x14ac:dyDescent="0.2">
      <c r="A14" s="11" t="s">
        <v>80</v>
      </c>
      <c r="B14" s="20" t="s">
        <v>81</v>
      </c>
      <c r="C14" s="12"/>
      <c r="D14" s="11"/>
      <c r="E14" s="17"/>
      <c r="F14" s="11"/>
    </row>
    <row r="15" spans="1:6" ht="15" x14ac:dyDescent="0.2">
      <c r="A15" s="20" t="s">
        <v>82</v>
      </c>
      <c r="B15" s="20" t="s">
        <v>82</v>
      </c>
      <c r="C15" s="12"/>
      <c r="D15" s="11"/>
      <c r="E15" s="17"/>
      <c r="F15" s="11"/>
    </row>
    <row r="16" spans="1:6" ht="15" x14ac:dyDescent="0.2">
      <c r="A16" s="20" t="s">
        <v>83</v>
      </c>
      <c r="B16" s="20" t="s">
        <v>83</v>
      </c>
      <c r="C16" s="12"/>
      <c r="D16" s="11"/>
      <c r="E16" s="17"/>
      <c r="F16" s="11"/>
    </row>
    <row r="17" spans="1:6" ht="15" x14ac:dyDescent="0.2">
      <c r="A17" s="20" t="s">
        <v>84</v>
      </c>
      <c r="B17" s="20" t="s">
        <v>84</v>
      </c>
      <c r="C17" s="12"/>
      <c r="D17" s="11"/>
      <c r="E17" s="17"/>
      <c r="F17" s="11"/>
    </row>
    <row r="18" spans="1:6" ht="15" x14ac:dyDescent="0.2">
      <c r="A18" s="11" t="s">
        <v>82</v>
      </c>
      <c r="B18" s="20" t="s">
        <v>85</v>
      </c>
      <c r="C18" s="12"/>
      <c r="D18" s="11" t="s">
        <v>86</v>
      </c>
      <c r="E18" s="17"/>
      <c r="F18" s="11"/>
    </row>
    <row r="19" spans="1:6" ht="15" x14ac:dyDescent="0.2">
      <c r="A19" s="6"/>
      <c r="B19" s="1"/>
      <c r="C19" s="18"/>
      <c r="D19" s="2"/>
      <c r="E19" s="3"/>
      <c r="F19" s="2"/>
    </row>
    <row r="20" spans="1:6" ht="15" x14ac:dyDescent="0.2">
      <c r="A20" s="6"/>
      <c r="B20" s="3"/>
      <c r="C20" s="13"/>
      <c r="D20" s="2"/>
      <c r="E20" s="3"/>
      <c r="F20" s="2"/>
    </row>
    <row r="21" spans="1:6" ht="15" x14ac:dyDescent="0.2">
      <c r="A21" s="6"/>
      <c r="B21" s="3"/>
      <c r="C21" s="13"/>
      <c r="D21" s="2"/>
      <c r="E21" s="3"/>
      <c r="F21" s="2"/>
    </row>
    <row r="22" spans="1:6" ht="15" x14ac:dyDescent="0.2">
      <c r="A22" s="6"/>
      <c r="B22" s="3"/>
      <c r="C22" s="13"/>
      <c r="D22" s="2"/>
      <c r="E22" s="3"/>
      <c r="F22" s="2"/>
    </row>
    <row r="23" spans="1:6" ht="15" x14ac:dyDescent="0.2">
      <c r="A23" s="6"/>
      <c r="B23" s="3"/>
      <c r="C23" s="13"/>
      <c r="D23" s="2"/>
      <c r="E23" s="3"/>
      <c r="F23" s="2"/>
    </row>
    <row r="24" spans="1:6" ht="15" x14ac:dyDescent="0.2">
      <c r="A24" s="6"/>
      <c r="B24" s="3"/>
      <c r="C24" s="13"/>
      <c r="D24" s="2"/>
      <c r="E24" s="3"/>
      <c r="F24" s="2"/>
    </row>
    <row r="25" spans="1:6" ht="15" x14ac:dyDescent="0.2">
      <c r="A25" s="6"/>
      <c r="B25" s="3"/>
      <c r="C25" s="13"/>
      <c r="D25" s="2"/>
      <c r="E25" s="3"/>
      <c r="F25" s="2"/>
    </row>
    <row r="26" spans="1:6" ht="15" x14ac:dyDescent="0.2">
      <c r="A26" s="6"/>
      <c r="B26" s="3"/>
      <c r="C26" s="13"/>
      <c r="D26" s="2"/>
      <c r="E26" s="3"/>
      <c r="F26" s="2"/>
    </row>
    <row r="27" spans="1:6" ht="15" x14ac:dyDescent="0.2">
      <c r="A27" s="6"/>
      <c r="B27" s="3"/>
      <c r="C27" s="13"/>
      <c r="D27" s="2"/>
      <c r="E27" s="3"/>
      <c r="F27" s="2"/>
    </row>
    <row r="28" spans="1:6" ht="15" x14ac:dyDescent="0.2">
      <c r="A28" s="6"/>
      <c r="B28" s="7"/>
      <c r="C28" s="14"/>
      <c r="D28" s="8"/>
      <c r="E28" s="7"/>
      <c r="F28" s="8"/>
    </row>
    <row r="29" spans="1:6" ht="15" x14ac:dyDescent="0.2">
      <c r="A29" s="6"/>
      <c r="B29" s="4"/>
      <c r="C29" s="15"/>
      <c r="D29" s="5"/>
      <c r="E29" s="4"/>
      <c r="F29" s="5"/>
    </row>
    <row r="30" spans="1:6" ht="15" x14ac:dyDescent="0.2">
      <c r="A30" s="6"/>
      <c r="B30" s="3"/>
      <c r="C30" s="13"/>
      <c r="D30" s="2"/>
      <c r="E30" s="3"/>
      <c r="F30" s="2"/>
    </row>
    <row r="31" spans="1:6" ht="15" x14ac:dyDescent="0.2">
      <c r="A31" s="6"/>
      <c r="B31" s="3"/>
      <c r="C31" s="13"/>
      <c r="D31" s="2"/>
      <c r="E31" s="3"/>
      <c r="F31" s="2"/>
    </row>
    <row r="32" spans="1:6" ht="15" x14ac:dyDescent="0.2">
      <c r="A32" s="6"/>
      <c r="B32" s="3"/>
      <c r="C32" s="13"/>
      <c r="D32" s="2"/>
      <c r="E32" s="3"/>
      <c r="F32" s="2"/>
    </row>
    <row r="33" spans="1:6" ht="15" x14ac:dyDescent="0.2">
      <c r="A33" s="6"/>
      <c r="B33" s="3"/>
      <c r="C33" s="13"/>
      <c r="D33" s="2"/>
      <c r="E33" s="3"/>
      <c r="F33" s="2"/>
    </row>
    <row r="34" spans="1:6" ht="15" x14ac:dyDescent="0.2">
      <c r="A34" s="6"/>
      <c r="B34" s="3"/>
      <c r="C34" s="13"/>
      <c r="D34" s="2"/>
      <c r="E34" s="3"/>
      <c r="F34" s="2"/>
    </row>
    <row r="35" spans="1:6" ht="15" x14ac:dyDescent="0.2">
      <c r="A35" s="6"/>
      <c r="B35" s="3"/>
      <c r="C35" s="13"/>
      <c r="D35" s="2"/>
      <c r="E35" s="3"/>
      <c r="F35" s="2"/>
    </row>
    <row r="36" spans="1:6" ht="15" x14ac:dyDescent="0.2">
      <c r="A36" s="6"/>
      <c r="B36" s="3"/>
      <c r="C36" s="13"/>
      <c r="D36" s="2"/>
      <c r="E36" s="3"/>
      <c r="F36" s="2"/>
    </row>
    <row r="37" spans="1:6" ht="15" x14ac:dyDescent="0.2">
      <c r="A37" s="6"/>
      <c r="B37" s="3"/>
      <c r="C37" s="13"/>
      <c r="D37" s="2"/>
      <c r="E37" s="3"/>
      <c r="F37" s="2"/>
    </row>
    <row r="38" spans="1:6" ht="15" x14ac:dyDescent="0.2">
      <c r="A38" s="6"/>
      <c r="B38" s="3"/>
      <c r="C38" s="13"/>
      <c r="D38" s="2"/>
      <c r="E38" s="3"/>
      <c r="F38" s="2"/>
    </row>
    <row r="39" spans="1:6" ht="15" x14ac:dyDescent="0.2">
      <c r="A39" s="6"/>
      <c r="B39" s="3"/>
      <c r="C39" s="13"/>
      <c r="D39" s="2"/>
      <c r="E39" s="3"/>
      <c r="F39" s="2"/>
    </row>
    <row r="40" spans="1:6" ht="15" x14ac:dyDescent="0.2">
      <c r="A40" s="6"/>
      <c r="B40" s="3"/>
      <c r="C40" s="13"/>
      <c r="D40" s="2"/>
      <c r="E40" s="3"/>
      <c r="F40" s="2"/>
    </row>
    <row r="41" spans="1:6" ht="15" x14ac:dyDescent="0.2">
      <c r="A41" s="6"/>
      <c r="B41" s="3"/>
      <c r="C41" s="13"/>
      <c r="D41" s="2"/>
      <c r="E41" s="3"/>
      <c r="F41" s="2"/>
    </row>
    <row r="46" spans="1:6" x14ac:dyDescent="0.15">
      <c r="C46" s="16"/>
      <c r="D46" s="9"/>
      <c r="E46" s="9"/>
      <c r="F46" s="9"/>
    </row>
    <row r="47" spans="1:6" x14ac:dyDescent="0.15">
      <c r="C47" s="16"/>
      <c r="D47" s="9"/>
      <c r="E47" s="9"/>
      <c r="F47" s="9"/>
    </row>
  </sheetData>
  <mergeCells count="3">
    <mergeCell ref="A1:F2"/>
    <mergeCell ref="A4:A7"/>
    <mergeCell ref="A11:A1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59F81-0E54-47E0-A397-6F0EAF626371}">
  <dimension ref="A1:A2"/>
  <sheetViews>
    <sheetView tabSelected="1" zoomScaleNormal="100" workbookViewId="0">
      <selection activeCell="A7" sqref="A7"/>
    </sheetView>
  </sheetViews>
  <sheetFormatPr baseColWidth="10" defaultColWidth="8.83203125" defaultRowHeight="13" x14ac:dyDescent="0.15"/>
  <cols>
    <col min="1" max="1" width="58.6640625" customWidth="1"/>
    <col min="2" max="2" width="38.1640625" customWidth="1"/>
    <col min="3" max="3" width="69.33203125" customWidth="1"/>
    <col min="4" max="4" width="71.83203125" bestFit="1" customWidth="1"/>
  </cols>
  <sheetData>
    <row r="1" spans="1:1" x14ac:dyDescent="0.15">
      <c r="A1" s="75" t="s">
        <v>109</v>
      </c>
    </row>
    <row r="2" spans="1:1" ht="224" x14ac:dyDescent="0.15">
      <c r="A2" s="131" t="s">
        <v>110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24"/>
  <sheetViews>
    <sheetView workbookViewId="0">
      <selection activeCell="A12" sqref="A12"/>
    </sheetView>
  </sheetViews>
  <sheetFormatPr baseColWidth="10" defaultColWidth="14.5" defaultRowHeight="13" x14ac:dyDescent="0.15"/>
  <cols>
    <col min="1" max="1" width="72.5" style="10" customWidth="1"/>
    <col min="2" max="2" width="23.33203125" style="10" customWidth="1"/>
    <col min="3" max="3" width="38.33203125" style="10" customWidth="1"/>
  </cols>
  <sheetData>
    <row r="1" spans="1:4" ht="17" x14ac:dyDescent="0.2">
      <c r="A1" s="24" t="s">
        <v>87</v>
      </c>
    </row>
    <row r="2" spans="1:4" ht="45" customHeight="1" x14ac:dyDescent="0.2">
      <c r="A2" s="124" t="s">
        <v>93</v>
      </c>
    </row>
    <row r="3" spans="1:4" ht="52.5" customHeight="1" x14ac:dyDescent="0.2">
      <c r="A3" s="125" t="s">
        <v>94</v>
      </c>
    </row>
    <row r="4" spans="1:4" ht="51" customHeight="1" x14ac:dyDescent="0.2">
      <c r="A4" s="125" t="s">
        <v>100</v>
      </c>
    </row>
    <row r="5" spans="1:4" ht="43.5" customHeight="1" x14ac:dyDescent="0.2">
      <c r="A5" s="125" t="s">
        <v>95</v>
      </c>
      <c r="B5" s="21"/>
      <c r="C5" s="21"/>
      <c r="D5" s="22"/>
    </row>
    <row r="6" spans="1:4" ht="30.75" customHeight="1" x14ac:dyDescent="0.2">
      <c r="A6" s="125" t="s">
        <v>96</v>
      </c>
      <c r="B6" s="21"/>
      <c r="C6" s="21"/>
      <c r="D6" s="22"/>
    </row>
    <row r="7" spans="1:4" ht="15.75" customHeight="1" x14ac:dyDescent="0.2">
      <c r="A7" s="126" t="s">
        <v>97</v>
      </c>
      <c r="B7" s="21"/>
      <c r="C7" s="21"/>
      <c r="D7" s="22"/>
    </row>
    <row r="8" spans="1:4" ht="24.75" customHeight="1" x14ac:dyDescent="0.2">
      <c r="A8" s="126" t="s">
        <v>98</v>
      </c>
      <c r="B8" s="21"/>
      <c r="C8" s="21"/>
      <c r="D8" s="22"/>
    </row>
    <row r="9" spans="1:4" ht="30" customHeight="1" x14ac:dyDescent="0.2">
      <c r="A9" s="126" t="s">
        <v>99</v>
      </c>
      <c r="B9" s="21"/>
      <c r="C9" s="21"/>
      <c r="D9" s="22"/>
    </row>
    <row r="10" spans="1:4" ht="44.25" customHeight="1" x14ac:dyDescent="0.15">
      <c r="A10" s="131" t="s">
        <v>101</v>
      </c>
      <c r="B10" s="21"/>
      <c r="C10" s="21"/>
      <c r="D10" s="22"/>
    </row>
    <row r="11" spans="1:4" ht="34.5" customHeight="1" x14ac:dyDescent="0.15">
      <c r="A11"/>
      <c r="B11" s="21"/>
      <c r="C11" s="21"/>
      <c r="D11" s="22"/>
    </row>
    <row r="12" spans="1:4" ht="31.5" customHeight="1" x14ac:dyDescent="0.2">
      <c r="A12" s="127"/>
      <c r="B12" s="21"/>
      <c r="C12" s="21"/>
      <c r="D12" s="22"/>
    </row>
    <row r="13" spans="1:4" ht="21" customHeight="1" x14ac:dyDescent="0.2">
      <c r="A13" s="128"/>
      <c r="B13" s="21"/>
      <c r="C13" s="21"/>
      <c r="D13" s="22"/>
    </row>
    <row r="14" spans="1:4" ht="41.25" customHeight="1" x14ac:dyDescent="0.2">
      <c r="A14" s="128"/>
      <c r="B14" s="21"/>
      <c r="C14" s="21"/>
      <c r="D14" s="22"/>
    </row>
    <row r="15" spans="1:4" ht="29.25" customHeight="1" x14ac:dyDescent="0.2">
      <c r="A15" s="129"/>
      <c r="B15" s="21"/>
      <c r="C15" s="21"/>
      <c r="D15" s="22"/>
    </row>
    <row r="16" spans="1:4" ht="29.25" customHeight="1" x14ac:dyDescent="0.2">
      <c r="A16" s="130"/>
      <c r="B16" s="21"/>
      <c r="C16" s="21"/>
      <c r="D16" s="22"/>
    </row>
    <row r="17" spans="1:4" ht="29.25" customHeight="1" x14ac:dyDescent="0.15">
      <c r="B17" s="21"/>
      <c r="C17" s="21"/>
      <c r="D17" s="22"/>
    </row>
    <row r="18" spans="1:4" ht="32.25" customHeight="1" x14ac:dyDescent="0.15">
      <c r="B18" s="21"/>
      <c r="C18" s="21"/>
      <c r="D18" s="22"/>
    </row>
    <row r="19" spans="1:4" ht="19.5" customHeight="1" x14ac:dyDescent="0.15">
      <c r="B19" s="21"/>
      <c r="C19" s="21"/>
      <c r="D19" s="22"/>
    </row>
    <row r="20" spans="1:4" ht="22.5" customHeight="1" x14ac:dyDescent="0.15">
      <c r="B20" s="21"/>
      <c r="C20" s="21"/>
      <c r="D20" s="22"/>
    </row>
    <row r="21" spans="1:4" ht="115.5" customHeight="1" x14ac:dyDescent="0.15">
      <c r="A21" s="23"/>
      <c r="B21" s="21"/>
      <c r="C21" s="21"/>
      <c r="D21" s="22"/>
    </row>
    <row r="22" spans="1:4" ht="95.25" customHeight="1" x14ac:dyDescent="0.15">
      <c r="A22" s="23"/>
      <c r="B22" s="21"/>
      <c r="C22" s="21"/>
      <c r="D22" s="22"/>
    </row>
    <row r="23" spans="1:4" x14ac:dyDescent="0.15">
      <c r="A23" s="21"/>
      <c r="B23" s="21"/>
      <c r="C23" s="21"/>
      <c r="D23" s="22"/>
    </row>
    <row r="24" spans="1:4" x14ac:dyDescent="0.15">
      <c r="A24" s="21"/>
      <c r="B24" s="21"/>
      <c r="C24" s="21"/>
      <c r="D24"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89695814397C42A6396A2355C665D6" ma:contentTypeVersion="3" ma:contentTypeDescription="Create a new document." ma:contentTypeScope="" ma:versionID="8fcc5eb07fd1da3087ba0fdf7004feb5">
  <xsd:schema xmlns:xsd="http://www.w3.org/2001/XMLSchema" xmlns:xs="http://www.w3.org/2001/XMLSchema" xmlns:p="http://schemas.microsoft.com/office/2006/metadata/properties" xmlns:ns2="31859e41-20b6-4290-bd2b-863bd5feb794" targetNamespace="http://schemas.microsoft.com/office/2006/metadata/properties" ma:root="true" ma:fieldsID="dbcc025c26df16e1d0dfe4968dc15a9c" ns2:_="">
    <xsd:import namespace="31859e41-20b6-4290-bd2b-863bd5feb79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859e41-20b6-4290-bd2b-863bd5feb7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DACA36-F6F0-4C97-9606-56E49C3041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859e41-20b6-4290-bd2b-863bd5feb7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F88EB0-59FB-4F4D-870C-D7368D706AF7}">
  <ds:schemaRefs>
    <ds:schemaRef ds:uri="http://schemas.microsoft.com/office/2006/documentManagement/types"/>
    <ds:schemaRef ds:uri="http://schemas.openxmlformats.org/package/2006/metadata/core-properties"/>
    <ds:schemaRef ds:uri="http://purl.org/dc/dcmitype/"/>
    <ds:schemaRef ds:uri="http://schemas.microsoft.com/office/2006/metadata/properties"/>
    <ds:schemaRef ds:uri="http://purl.org/dc/terms/"/>
    <ds:schemaRef ds:uri="http://purl.org/dc/elements/1.1/"/>
    <ds:schemaRef ds:uri="31859e41-20b6-4290-bd2b-863bd5feb794"/>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F0CA8425-F905-4FA8-9896-84C26D0103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_Architecture</vt:lpstr>
      <vt:lpstr>PoC Scope  </vt:lpstr>
      <vt:lpstr> Success criteria</vt:lpstr>
      <vt:lpstr>Non-functional requirements</vt:lpstr>
      <vt:lpstr>_DoD</vt:lpstr>
      <vt:lpstr>Assumptions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Arik Faingold</dc:creator>
  <cp:keywords/>
  <dc:description/>
  <cp:lastModifiedBy>Ido Garbi</cp:lastModifiedBy>
  <cp:revision/>
  <dcterms:created xsi:type="dcterms:W3CDTF">2020-11-23T11:49:30Z</dcterms:created>
  <dcterms:modified xsi:type="dcterms:W3CDTF">2025-12-09T07:17:59Z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0x0101008D89695814397C42A6396A2355C665D6</vt:lpwstr>
  </property>
  <property fmtid="{D5CDD505-2E9C-101B-9397-08002B2CF9AE}" pid="3" name="Order">
    <vt:r8>7700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